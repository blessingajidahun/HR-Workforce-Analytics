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0"/>
  <workbookPr defaultThemeVersion="202300"/>
  <mc:AlternateContent xmlns:mc="http://schemas.openxmlformats.org/markup-compatibility/2006">
    <mc:Choice Requires="x15">
      <x15ac:absPath xmlns:x15ac="http://schemas.microsoft.com/office/spreadsheetml/2010/11/ac" url="C:\Users\Sodiq\Documents\CLASSES\GIG\IRC\"/>
    </mc:Choice>
  </mc:AlternateContent>
  <xr:revisionPtr revIDLastSave="0" documentId="8_{F7701094-60B1-46A9-AF5C-BFAB78E3D9C2}" xr6:coauthVersionLast="47" xr6:coauthVersionMax="47" xr10:uidLastSave="{00000000-0000-0000-0000-000000000000}"/>
  <bookViews>
    <workbookView xWindow="-108" yWindow="-108" windowWidth="23256" windowHeight="12576" activeTab="1" xr2:uid="{C78D7A01-229F-41D7-9D4E-A3A9F8CAA0C4}"/>
  </bookViews>
  <sheets>
    <sheet name="Business Case" sheetId="7" r:id="rId1"/>
    <sheet name="Data" sheetId="1" r:id="rId2"/>
    <sheet name="Sheet3" sheetId="10" state="hidden" r:id="rId3"/>
    <sheet name="Dashboard" sheetId="4" state="hidden" r:id="rId4"/>
  </sheets>
  <definedNames>
    <definedName name="_xlnm._FilterDatabase" localSheetId="1" hidden="1">Data!$A$1:$N$312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2" i="1"/>
  <c r="L6"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2" i="10"/>
  <c r="L4" i="10"/>
  <c r="L3" i="10"/>
  <c r="L2" i="10"/>
</calcChain>
</file>

<file path=xl/sharedStrings.xml><?xml version="1.0" encoding="utf-8"?>
<sst xmlns="http://schemas.openxmlformats.org/spreadsheetml/2006/main" count="3547" uniqueCount="640">
  <si>
    <t>Employee_Name</t>
  </si>
  <si>
    <t>Adinolfi, Wilson  K</t>
  </si>
  <si>
    <t xml:space="preserve">Ait Sidi, Karthikeyan   </t>
  </si>
  <si>
    <t>Akinkuolie, Sarah</t>
  </si>
  <si>
    <t>Alagbe,Trina</t>
  </si>
  <si>
    <t xml:space="preserve">Anderson, Carol </t>
  </si>
  <si>
    <t xml:space="preserve">Anderson, Linda  </t>
  </si>
  <si>
    <t>Andreola, Colby</t>
  </si>
  <si>
    <t>Athwal, Sam</t>
  </si>
  <si>
    <t>Bachiochi, Linda</t>
  </si>
  <si>
    <t xml:space="preserve">Bacong, Alejandro </t>
  </si>
  <si>
    <t xml:space="preserve">Baczenski, Rachael  </t>
  </si>
  <si>
    <t>Barbara, Thomas</t>
  </si>
  <si>
    <t>Barbossa, Hector</t>
  </si>
  <si>
    <t>Barone, Francesco  A</t>
  </si>
  <si>
    <t>Barton, Nader</t>
  </si>
  <si>
    <t>Bates, Norman</t>
  </si>
  <si>
    <t xml:space="preserve">Beak, Kimberly  </t>
  </si>
  <si>
    <t xml:space="preserve">Beatrice, Courtney </t>
  </si>
  <si>
    <t>Becker, Renee</t>
  </si>
  <si>
    <t>Becker, Scott</t>
  </si>
  <si>
    <t>Bernstein, Sean</t>
  </si>
  <si>
    <t>Biden, Lowan  M</t>
  </si>
  <si>
    <t>Billis, Helen</t>
  </si>
  <si>
    <t>Blount, Dianna</t>
  </si>
  <si>
    <t>Bondwell, Betsy</t>
  </si>
  <si>
    <t>Booth, Frank</t>
  </si>
  <si>
    <t>Boutwell, Bonalyn</t>
  </si>
  <si>
    <t>Bozzi, Charles</t>
  </si>
  <si>
    <t>Brill, Donna</t>
  </si>
  <si>
    <t>Brown, Mia</t>
  </si>
  <si>
    <t xml:space="preserve">Buccheri, Joseph  </t>
  </si>
  <si>
    <t xml:space="preserve">Bugali, Josephine </t>
  </si>
  <si>
    <t>Bunbury, Jessica</t>
  </si>
  <si>
    <t>Burke, Joelle</t>
  </si>
  <si>
    <t xml:space="preserve">Burkett, Benjamin </t>
  </si>
  <si>
    <t xml:space="preserve">Cady, Max </t>
  </si>
  <si>
    <t>Candie, Calvin</t>
  </si>
  <si>
    <t>Carabbio, Judith</t>
  </si>
  <si>
    <t xml:space="preserve">Carey, Michael  </t>
  </si>
  <si>
    <t>Carr, Claudia  N</t>
  </si>
  <si>
    <t xml:space="preserve">Carter, Michelle </t>
  </si>
  <si>
    <t xml:space="preserve">Chace, Beatrice </t>
  </si>
  <si>
    <t>Champaigne, Brian</t>
  </si>
  <si>
    <t>Chan, Lin</t>
  </si>
  <si>
    <t>Chang, Donovan  E</t>
  </si>
  <si>
    <t>Chigurh, Anton</t>
  </si>
  <si>
    <t>Chivukula, Enola</t>
  </si>
  <si>
    <t xml:space="preserve">Cierpiszewski, Caroline  </t>
  </si>
  <si>
    <t>Clayton, Rick</t>
  </si>
  <si>
    <t>Cloninger, Jennifer</t>
  </si>
  <si>
    <t>Close, Phil</t>
  </si>
  <si>
    <t>Clukey, Elijian</t>
  </si>
  <si>
    <t>Cockel, James</t>
  </si>
  <si>
    <t>Cole, Spencer</t>
  </si>
  <si>
    <t>Corleone, Michael</t>
  </si>
  <si>
    <t>Corleone, Vito</t>
  </si>
  <si>
    <t xml:space="preserve">Cornett, Lisa </t>
  </si>
  <si>
    <t>Costello, Frank</t>
  </si>
  <si>
    <t>Crimmings,   Jean</t>
  </si>
  <si>
    <t>Cross, Noah</t>
  </si>
  <si>
    <t>Daneault, Lynn</t>
  </si>
  <si>
    <t xml:space="preserve">Daniele, Ann  </t>
  </si>
  <si>
    <t xml:space="preserve">Darson, Jene'ya </t>
  </si>
  <si>
    <t>Davis, Daniel</t>
  </si>
  <si>
    <t>Dee, Randy</t>
  </si>
  <si>
    <t>DeGweck,  James</t>
  </si>
  <si>
    <t>Del Bosque, Keyla</t>
  </si>
  <si>
    <t>Delarge, Alex</t>
  </si>
  <si>
    <t>Demita, Carla</t>
  </si>
  <si>
    <t xml:space="preserve">Desimone, Carl </t>
  </si>
  <si>
    <t>DeVito, Tommy</t>
  </si>
  <si>
    <t xml:space="preserve">Dickinson, Geoff </t>
  </si>
  <si>
    <t xml:space="preserve">Dietrich, Jenna  </t>
  </si>
  <si>
    <t xml:space="preserve">DiNocco, Lily </t>
  </si>
  <si>
    <t>Dobrin, Denisa  S</t>
  </si>
  <si>
    <t>Dolan, Linda</t>
  </si>
  <si>
    <t>Dougall, Eric</t>
  </si>
  <si>
    <t>Driver, Elle</t>
  </si>
  <si>
    <t xml:space="preserve">Dunn, Amy  </t>
  </si>
  <si>
    <t>Dunne, Amy</t>
  </si>
  <si>
    <t>Eaton, Marianne</t>
  </si>
  <si>
    <t>Engdahl, Jean</t>
  </si>
  <si>
    <t>England, Rex</t>
  </si>
  <si>
    <t>Erilus, Angela</t>
  </si>
  <si>
    <t>Estremera, Miguel</t>
  </si>
  <si>
    <t>Evensen, April</t>
  </si>
  <si>
    <t>Exantus, Susan</t>
  </si>
  <si>
    <t xml:space="preserve">Faller, Megan </t>
  </si>
  <si>
    <t>Fancett, Nicole</t>
  </si>
  <si>
    <t>Ferguson, Susan</t>
  </si>
  <si>
    <t xml:space="preserve">Fernandes, Nilson  </t>
  </si>
  <si>
    <t>Fett, Boba</t>
  </si>
  <si>
    <t>Fidelia,  Libby</t>
  </si>
  <si>
    <t>Fitzpatrick, Michael  J</t>
  </si>
  <si>
    <t>Foreman, Tanya</t>
  </si>
  <si>
    <t>Forrest, Alex</t>
  </si>
  <si>
    <t>Foss, Jason</t>
  </si>
  <si>
    <t>Foster-Baker, Amy</t>
  </si>
  <si>
    <t xml:space="preserve">Fraval, Maruk </t>
  </si>
  <si>
    <t>Galia, Lisa</t>
  </si>
  <si>
    <t>Garcia, Raul</t>
  </si>
  <si>
    <t>Gaul, Barbara</t>
  </si>
  <si>
    <t>Gentry, Mildred</t>
  </si>
  <si>
    <t>Gerke, Melisa</t>
  </si>
  <si>
    <t xml:space="preserve">Gill, Whitney  </t>
  </si>
  <si>
    <t>Gilles, Alex</t>
  </si>
  <si>
    <t>Girifalco, Evelyn</t>
  </si>
  <si>
    <t>Givens, Myriam</t>
  </si>
  <si>
    <t>Goble, Taisha</t>
  </si>
  <si>
    <t>Goeth, Amon</t>
  </si>
  <si>
    <t xml:space="preserve">Gold, Shenice  </t>
  </si>
  <si>
    <t>Gonzalez, Cayo</t>
  </si>
  <si>
    <t>Gonzalez, Juan</t>
  </si>
  <si>
    <t>Gonzalez, Maria</t>
  </si>
  <si>
    <t>Good, Susan</t>
  </si>
  <si>
    <t>Gordon, David</t>
  </si>
  <si>
    <t xml:space="preserve">Gosciminski, Phylicia  </t>
  </si>
  <si>
    <t>Goyal, Roxana</t>
  </si>
  <si>
    <t xml:space="preserve">Gray, Elijiah  </t>
  </si>
  <si>
    <t>Gross, Paula</t>
  </si>
  <si>
    <t>Gruber, Hans</t>
  </si>
  <si>
    <t>Guilianno, Mike</t>
  </si>
  <si>
    <t>Handschiegl, Joanne</t>
  </si>
  <si>
    <t>Hankard, Earnest</t>
  </si>
  <si>
    <t xml:space="preserve">Harrington, Christie </t>
  </si>
  <si>
    <t>Harrison, Kara</t>
  </si>
  <si>
    <t>Heitzman, Anthony</t>
  </si>
  <si>
    <t>Hendrickson, Trina</t>
  </si>
  <si>
    <t>Hitchcock, Alfred</t>
  </si>
  <si>
    <t>Homberger, Adrienne  J</t>
  </si>
  <si>
    <t>Horton, Jayne</t>
  </si>
  <si>
    <t>Houlihan, Debra</t>
  </si>
  <si>
    <t>Howard, Estelle</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</si>
  <si>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</si>
  <si>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</si>
  <si>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</si>
  <si>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</si>
  <si>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</si>
  <si>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</si>
  <si>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</si>
  <si>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</si>
  <si>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</si>
  <si>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</si>
  <si>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</si>
  <si>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</si>
  <si>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</si>
  <si>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</si>
  <si>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</si>
  <si>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 xml:space="preserve">Keatts, Kramer </t>
  </si>
  <si>
    <t>Khemmich, Bartholemew</t>
  </si>
  <si>
    <t>King, Janet</t>
  </si>
  <si>
    <t xml:space="preserve">Kinsella, Kathleen  </t>
  </si>
  <si>
    <t xml:space="preserve">Kirill, Alexandra  </t>
  </si>
  <si>
    <t>Knapp, Bradley  J</t>
  </si>
  <si>
    <t>Kretschmer, John</t>
  </si>
  <si>
    <t>Kreuger, Freddy</t>
  </si>
  <si>
    <t>Lajiri,  Jyoti</t>
  </si>
  <si>
    <t>Landa, Hans</t>
  </si>
  <si>
    <t>Langford, Lindsey</t>
  </si>
  <si>
    <t>Langton, Enrico</t>
  </si>
  <si>
    <t xml:space="preserve">LaRotonda, William  </t>
  </si>
  <si>
    <t>Latif, Mohammed</t>
  </si>
  <si>
    <t>Le, Binh</t>
  </si>
  <si>
    <t>Leach, Dallas</t>
  </si>
  <si>
    <t>LeBlanc, Brandon  R</t>
  </si>
  <si>
    <t>Lecter, Hannibal</t>
  </si>
  <si>
    <t>Leruth, Giovanni</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</si>
  <si>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</si>
  <si>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</si>
  <si>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</si>
  <si>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</si>
  <si>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</si>
  <si>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</si>
  <si>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</si>
  <si>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</si>
  <si>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</si>
  <si>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</si>
  <si>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</si>
  <si>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</si>
  <si>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</si>
  <si>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</si>
  <si>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</si>
  <si>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</si>
  <si>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</si>
  <si>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</si>
  <si>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</si>
  <si>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</si>
  <si>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</si>
  <si>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Miller, Ned</t>
  </si>
  <si>
    <t>Monkfish, Erasumus</t>
  </si>
  <si>
    <t>Monroe, Peter</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</si>
  <si>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</si>
  <si>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</si>
  <si>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</si>
  <si>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</si>
  <si>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</si>
  <si>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</si>
  <si>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</si>
  <si>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</si>
  <si>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</si>
  <si>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</si>
  <si>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</si>
  <si>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</si>
  <si>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Nguyen, Lei-Ming</t>
  </si>
  <si>
    <t>Nowlan, Kristie</t>
  </si>
  <si>
    <t>O'hare, Lynn</t>
  </si>
  <si>
    <t xml:space="preserve">Oliver, Brooke </t>
  </si>
  <si>
    <t>Onque, Jasmine</t>
  </si>
  <si>
    <t>Osturnka, Adeel</t>
  </si>
  <si>
    <t>Owad, Clinton</t>
  </si>
  <si>
    <t>Ozark, Travis</t>
  </si>
  <si>
    <t>Panjwani, Nina</t>
  </si>
  <si>
    <t>Patronick, Lucas</t>
  </si>
  <si>
    <t>Pearson, Randall</t>
  </si>
  <si>
    <t>Smith, Martin</t>
  </si>
  <si>
    <t>Pelletier, Ermine</t>
  </si>
  <si>
    <t>Perry, Shakira</t>
  </si>
  <si>
    <t>Peters, Lauren</t>
  </si>
  <si>
    <t xml:space="preserve">Peterson, Ebonee  </t>
  </si>
  <si>
    <t xml:space="preserve">Petingill, Shana  </t>
  </si>
  <si>
    <t>Petrowsky, Thelma</t>
  </si>
  <si>
    <t>Pham, Hong</t>
  </si>
  <si>
    <t xml:space="preserve">Pitt, Brad </t>
  </si>
  <si>
    <t>Potts, Xana</t>
  </si>
  <si>
    <t>Power, Morissa</t>
  </si>
  <si>
    <t xml:space="preserve">Punjabhi, Louis  </t>
  </si>
  <si>
    <t>Purinton, Janine</t>
  </si>
  <si>
    <t>Quinn, Sean</t>
  </si>
  <si>
    <t>Rachael, Maggie</t>
  </si>
  <si>
    <t>Rarrick, Quinn</t>
  </si>
  <si>
    <t>Ren, Kylo</t>
  </si>
  <si>
    <t>Rhoads, Thomas</t>
  </si>
  <si>
    <t xml:space="preserve">Rivera, Haley  </t>
  </si>
  <si>
    <t>Roberson, May</t>
  </si>
  <si>
    <t>Robertson, Peter</t>
  </si>
  <si>
    <t xml:space="preserve">Robinson, Alain  </t>
  </si>
  <si>
    <t>Robinson, Cherly</t>
  </si>
  <si>
    <t>Robinson, Elias</t>
  </si>
  <si>
    <t xml:space="preserve">Roby, Lori </t>
  </si>
  <si>
    <t>Roehrich, Bianca</t>
  </si>
  <si>
    <t>Roper, Katie</t>
  </si>
  <si>
    <t xml:space="preserve">Rose, Ashley  </t>
  </si>
  <si>
    <t>Rossetti, Bruno</t>
  </si>
  <si>
    <t>Roup,Simon</t>
  </si>
  <si>
    <t>Ruiz, Ricardo</t>
  </si>
  <si>
    <t>Saada, Adell</t>
  </si>
  <si>
    <t>Saar-Beckles, Melinda</t>
  </si>
  <si>
    <t xml:space="preserve">Sadki, Nore  </t>
  </si>
  <si>
    <t>Sahoo, Adil</t>
  </si>
  <si>
    <t>Salter, Jason</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</si>
  <si>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</si>
  <si>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</si>
  <si>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</si>
  <si>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</si>
  <si>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</si>
  <si>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</si>
  <si>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</si>
  <si>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</si>
  <si>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</si>
  <si>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</si>
  <si>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</si>
  <si>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</si>
  <si>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</si>
  <si>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</si>
  <si>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</si>
  <si>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</si>
  <si>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</si>
  <si>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</si>
  <si>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 xml:space="preserve">Steans, Tyrone  </t>
  </si>
  <si>
    <t>Stoica, Rick</t>
  </si>
  <si>
    <t>Strong, Caitrin</t>
  </si>
  <si>
    <t xml:space="preserve">Sullivan, Kissy </t>
  </si>
  <si>
    <t>Sullivan, Timothy</t>
  </si>
  <si>
    <t>Sutwell, Barbara</t>
  </si>
  <si>
    <t>Szabo, Andrew</t>
  </si>
  <si>
    <t>Tannen, Biff</t>
  </si>
  <si>
    <t xml:space="preserve">Tavares, Desiree  </t>
  </si>
  <si>
    <t xml:space="preserve">Tejeda, Lenora </t>
  </si>
  <si>
    <t xml:space="preserve">Terry, Sharlene </t>
  </si>
  <si>
    <t>Theamstern, Sophia</t>
  </si>
  <si>
    <t>Thibaud, Kenneth</t>
  </si>
  <si>
    <t>Tippett, Jeanette</t>
  </si>
  <si>
    <t>Torrence, Jack</t>
  </si>
  <si>
    <t>Trang, Mei</t>
  </si>
  <si>
    <t xml:space="preserve">Tredinnick, Neville </t>
  </si>
  <si>
    <t>True, Edward</t>
  </si>
  <si>
    <t>Trzeciak, Cybil</t>
  </si>
  <si>
    <t>Turpin, Jumil</t>
  </si>
  <si>
    <t>Valentin,Jackie</t>
  </si>
  <si>
    <t xml:space="preserve">Veera, Abdellah </t>
  </si>
  <si>
    <t>Vega, Vincent</t>
  </si>
  <si>
    <t>Villanueva, Noah</t>
  </si>
  <si>
    <t>Voldemort, Lord</t>
  </si>
  <si>
    <t>Volk, Colleen</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</si>
  <si>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</si>
  <si>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</si>
  <si>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</si>
  <si>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</si>
  <si>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</si>
  <si>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</si>
  <si>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</si>
  <si>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</si>
  <si>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</si>
  <si>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</si>
  <si>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</si>
  <si>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</si>
  <si>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</si>
  <si>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</si>
  <si>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</si>
  <si>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Zhou, Julia</t>
  </si>
  <si>
    <t>Zima, Colleen</t>
  </si>
  <si>
    <t>EmpID</t>
  </si>
  <si>
    <t>Salary</t>
  </si>
  <si>
    <t>Position</t>
  </si>
  <si>
    <t>Production Technician I</t>
  </si>
  <si>
    <t>Sr. DBA</t>
  </si>
  <si>
    <t>Production Technician II</t>
  </si>
  <si>
    <t>Software Engineer</t>
  </si>
  <si>
    <t>IT Support</t>
  </si>
  <si>
    <t>Data Analyst</t>
  </si>
  <si>
    <t>Database Administrator</t>
  </si>
  <si>
    <t>Enterprise Architect</t>
  </si>
  <si>
    <t>Sr. Accountant</t>
  </si>
  <si>
    <t>Production Manager</t>
  </si>
  <si>
    <t>Accountant I</t>
  </si>
  <si>
    <t>Area Sales Manager</t>
  </si>
  <si>
    <t>Software Engineering Manager</t>
  </si>
  <si>
    <t>BI Director</t>
  </si>
  <si>
    <t>Director of Operations</t>
  </si>
  <si>
    <t>Sr. Network Engineer</t>
  </si>
  <si>
    <t>Sales Manager</t>
  </si>
  <si>
    <t>BI Developer</t>
  </si>
  <si>
    <t>IT Manager - Support</t>
  </si>
  <si>
    <t>Network Engineer</t>
  </si>
  <si>
    <t>IT Director</t>
  </si>
  <si>
    <t>Director of Sales</t>
  </si>
  <si>
    <t>Administrative Assistant</t>
  </si>
  <si>
    <t>President &amp; CEO</t>
  </si>
  <si>
    <t>Senior BI Developer</t>
  </si>
  <si>
    <t>Shared Services Manager</t>
  </si>
  <si>
    <t>IT Manager - Infra</t>
  </si>
  <si>
    <t>Principal Data Architect</t>
  </si>
  <si>
    <t>Data Architect</t>
  </si>
  <si>
    <t>IT Manager - DB</t>
  </si>
  <si>
    <t xml:space="preserve">Data Analyst </t>
  </si>
  <si>
    <t>CIO</t>
  </si>
  <si>
    <t>State</t>
  </si>
  <si>
    <t>MA</t>
  </si>
  <si>
    <t>TX</t>
  </si>
  <si>
    <t>CT</t>
  </si>
  <si>
    <t>VA</t>
  </si>
  <si>
    <t>VT</t>
  </si>
  <si>
    <t>AL</t>
  </si>
  <si>
    <t>WA</t>
  </si>
  <si>
    <t>CA</t>
  </si>
  <si>
    <t>OH</t>
  </si>
  <si>
    <t>IN</t>
  </si>
  <si>
    <t>TN</t>
  </si>
  <si>
    <t>NH</t>
  </si>
  <si>
    <t>RI</t>
  </si>
  <si>
    <t>PA</t>
  </si>
  <si>
    <t>CO</t>
  </si>
  <si>
    <t>NY</t>
  </si>
  <si>
    <t>UT</t>
  </si>
  <si>
    <t>GA</t>
  </si>
  <si>
    <t>FL</t>
  </si>
  <si>
    <t>NC</t>
  </si>
  <si>
    <t>KY</t>
  </si>
  <si>
    <t>ID</t>
  </si>
  <si>
    <t>NV</t>
  </si>
  <si>
    <t>MT</t>
  </si>
  <si>
    <t>OR</t>
  </si>
  <si>
    <t>ND</t>
  </si>
  <si>
    <t>AZ</t>
  </si>
  <si>
    <t>ME</t>
  </si>
  <si>
    <t>DOB</t>
  </si>
  <si>
    <t>Sex</t>
  </si>
  <si>
    <t xml:space="preserve">M </t>
  </si>
  <si>
    <t>F</t>
  </si>
  <si>
    <t>MaritalDesc</t>
  </si>
  <si>
    <t>Single</t>
  </si>
  <si>
    <t>Married</t>
  </si>
  <si>
    <t>Divorced</t>
  </si>
  <si>
    <t>Widowed</t>
  </si>
  <si>
    <t>Separated</t>
  </si>
  <si>
    <t>CitizenDesc</t>
  </si>
  <si>
    <t>US Citizen</t>
  </si>
  <si>
    <t>Eligible NonCitizen</t>
  </si>
  <si>
    <t>Non-Citizen</t>
  </si>
  <si>
    <t>RaceDesc</t>
  </si>
  <si>
    <t>White</t>
  </si>
  <si>
    <t>Black or African American</t>
  </si>
  <si>
    <t>Two or more races</t>
  </si>
  <si>
    <t>Asian</t>
  </si>
  <si>
    <t>American Indian or Alaska Native</t>
  </si>
  <si>
    <t>Hispanic</t>
  </si>
  <si>
    <t>DateofHire</t>
  </si>
  <si>
    <t>Department</t>
  </si>
  <si>
    <t xml:space="preserve">Production       </t>
  </si>
  <si>
    <t>IT/IS</t>
  </si>
  <si>
    <t>Software Engineering</t>
  </si>
  <si>
    <t>Admin Offices</t>
  </si>
  <si>
    <t>Sales</t>
  </si>
  <si>
    <t>Executive Office</t>
  </si>
  <si>
    <t>ManagerName</t>
  </si>
  <si>
    <t>Michael Albert</t>
  </si>
  <si>
    <t>Simon Roup</t>
  </si>
  <si>
    <t>Kissy Sullivan</t>
  </si>
  <si>
    <t>Elijiah Gray</t>
  </si>
  <si>
    <t>Webster Butler</t>
  </si>
  <si>
    <t>Amy Dunn</t>
  </si>
  <si>
    <t>Alex Sweetwater</t>
  </si>
  <si>
    <t>Ketsia Liebig</t>
  </si>
  <si>
    <t>Brannon Miller</t>
  </si>
  <si>
    <t>Peter Monroe</t>
  </si>
  <si>
    <t>David Stanley</t>
  </si>
  <si>
    <t>Kelley Spirea</t>
  </si>
  <si>
    <t>Brandon R. LeBlanc</t>
  </si>
  <si>
    <t>Janet King</t>
  </si>
  <si>
    <t>John Smith</t>
  </si>
  <si>
    <t>Jennifer Zamora</t>
  </si>
  <si>
    <t>Lynn Daneault</t>
  </si>
  <si>
    <t>Eric Dougall</t>
  </si>
  <si>
    <t>Debra Houlihan</t>
  </si>
  <si>
    <t>Brian Champaigne</t>
  </si>
  <si>
    <t>Board of Directors</t>
  </si>
  <si>
    <t>RecruitmentSource</t>
  </si>
  <si>
    <t>LinkedIn</t>
  </si>
  <si>
    <t>Indeed</t>
  </si>
  <si>
    <t>Google Search</t>
  </si>
  <si>
    <t>Employee Referral</t>
  </si>
  <si>
    <t>Diversity Job Fair</t>
  </si>
  <si>
    <t>On-line Web application</t>
  </si>
  <si>
    <t>CareerBuilder</t>
  </si>
  <si>
    <t>Website</t>
  </si>
  <si>
    <t>Other</t>
  </si>
  <si>
    <t>Age</t>
  </si>
  <si>
    <t>Female</t>
  </si>
  <si>
    <t>Male</t>
  </si>
  <si>
    <t>Sum</t>
  </si>
  <si>
    <t>Count</t>
  </si>
  <si>
    <t>Average</t>
  </si>
  <si>
    <t>Sumif</t>
  </si>
  <si>
    <t>Countif</t>
  </si>
  <si>
    <t>Averageif</t>
  </si>
  <si>
    <t>IF statements</t>
  </si>
  <si>
    <t>Vlookup</t>
  </si>
  <si>
    <t>Conditional Formatting</t>
  </si>
  <si>
    <t>Pivot Tables</t>
  </si>
  <si>
    <t>Basic</t>
  </si>
  <si>
    <t>Intermediate</t>
  </si>
  <si>
    <t>Advance</t>
  </si>
  <si>
    <t>Power Query</t>
  </si>
  <si>
    <t>VBA Macros</t>
  </si>
  <si>
    <t>What IF analysis</t>
  </si>
  <si>
    <t>Novice</t>
  </si>
  <si>
    <t>Dashboards</t>
  </si>
  <si>
    <t>FIRST</t>
  </si>
  <si>
    <t>LAST</t>
  </si>
  <si>
    <t>Full Name</t>
  </si>
  <si>
    <t>GENDER</t>
  </si>
  <si>
    <t>DEPT</t>
  </si>
  <si>
    <t>DATE of HIRE</t>
  </si>
  <si>
    <t>Work Hours</t>
  </si>
  <si>
    <t>Wages</t>
  </si>
  <si>
    <t>Paul</t>
  </si>
  <si>
    <t>MSalesin</t>
  </si>
  <si>
    <t>Development</t>
  </si>
  <si>
    <t>Lorrie</t>
  </si>
  <si>
    <t>Sullivan</t>
  </si>
  <si>
    <t>Jeffrey</t>
  </si>
  <si>
    <t>Strong</t>
  </si>
  <si>
    <t>Bill</t>
  </si>
  <si>
    <t>Wheeler</t>
  </si>
  <si>
    <t>Simpson</t>
  </si>
  <si>
    <t>Production</t>
  </si>
  <si>
    <t>Frieda</t>
  </si>
  <si>
    <t>Binga</t>
  </si>
  <si>
    <t>Research</t>
  </si>
  <si>
    <t>Jerry</t>
  </si>
  <si>
    <t>McDonald</t>
  </si>
  <si>
    <t>Barry</t>
  </si>
  <si>
    <t>Bally</t>
  </si>
  <si>
    <t>Frank</t>
  </si>
  <si>
    <t>Culbert</t>
  </si>
  <si>
    <t>Fred</t>
  </si>
  <si>
    <t>Mallory</t>
  </si>
  <si>
    <t>Robert</t>
  </si>
  <si>
    <t>Cuffaro</t>
  </si>
  <si>
    <t>Sam</t>
  </si>
  <si>
    <t>Whitney</t>
  </si>
  <si>
    <t>Jacqueline</t>
  </si>
  <si>
    <t>Banks</t>
  </si>
  <si>
    <t>Bradley</t>
  </si>
  <si>
    <t>Howard</t>
  </si>
  <si>
    <t>Julia</t>
  </si>
  <si>
    <t>Smith</t>
  </si>
  <si>
    <t>Chris</t>
  </si>
  <si>
    <t>Reed</t>
  </si>
  <si>
    <t>Jeri Lynn</t>
  </si>
  <si>
    <t>MacFall</t>
  </si>
  <si>
    <t>Carol</t>
  </si>
  <si>
    <t>Tucker</t>
  </si>
  <si>
    <t>Shing</t>
  </si>
  <si>
    <t>Chen</t>
  </si>
  <si>
    <t>Donald</t>
  </si>
  <si>
    <t>Reese</t>
  </si>
  <si>
    <t>Holly</t>
  </si>
  <si>
    <t>Taylor</t>
  </si>
  <si>
    <t>Joanne</t>
  </si>
  <si>
    <t>Parker</t>
  </si>
  <si>
    <t>Kyle</t>
  </si>
  <si>
    <t>EarnhSales</t>
  </si>
  <si>
    <t>Grace</t>
  </si>
  <si>
    <t>Sloan</t>
  </si>
  <si>
    <t>Bob</t>
  </si>
  <si>
    <t>Ambrose</t>
  </si>
  <si>
    <t>George</t>
  </si>
  <si>
    <t>Gorski</t>
  </si>
  <si>
    <t>Sean</t>
  </si>
  <si>
    <t>Willis</t>
  </si>
  <si>
    <t>Marianne</t>
  </si>
  <si>
    <t>Calvin</t>
  </si>
  <si>
    <t>Brad</t>
  </si>
  <si>
    <t>Hinkelman</t>
  </si>
  <si>
    <t>Brooks</t>
  </si>
  <si>
    <t>Hillen</t>
  </si>
  <si>
    <t>Lindsey</t>
  </si>
  <si>
    <t>Winger</t>
  </si>
  <si>
    <t>Michael</t>
  </si>
  <si>
    <t>Richardson</t>
  </si>
  <si>
    <t>Anne</t>
  </si>
  <si>
    <t>Davidson</t>
  </si>
  <si>
    <t>Kathy</t>
  </si>
  <si>
    <t>Mayron</t>
  </si>
  <si>
    <t>Peter</t>
  </si>
  <si>
    <t>Allen</t>
  </si>
  <si>
    <t>Edward</t>
  </si>
  <si>
    <t>Trelly</t>
  </si>
  <si>
    <t>Hill</t>
  </si>
  <si>
    <t>John</t>
  </si>
  <si>
    <t>Jacobs</t>
  </si>
  <si>
    <t>Steve</t>
  </si>
  <si>
    <t>Singer</t>
  </si>
  <si>
    <t>Katie</t>
  </si>
  <si>
    <t>Dominick</t>
  </si>
  <si>
    <t>Mazza</t>
  </si>
  <si>
    <t>James</t>
  </si>
  <si>
    <t>Rich</t>
  </si>
  <si>
    <t>Melanie</t>
  </si>
  <si>
    <t>Bowers</t>
  </si>
  <si>
    <t>Ted</t>
  </si>
  <si>
    <t>Hayes</t>
  </si>
  <si>
    <t>Esther</t>
  </si>
  <si>
    <t>Williams</t>
  </si>
  <si>
    <t>Sara</t>
  </si>
  <si>
    <t>Kling</t>
  </si>
  <si>
    <t>Karina</t>
  </si>
  <si>
    <t>Abel</t>
  </si>
  <si>
    <t>Alice</t>
  </si>
  <si>
    <t>Owens</t>
  </si>
  <si>
    <t>Doug</t>
  </si>
  <si>
    <t>Briscoll</t>
  </si>
  <si>
    <t>Christina</t>
  </si>
  <si>
    <t>Lillie</t>
  </si>
  <si>
    <t>Kristen</t>
  </si>
  <si>
    <t>DeVinney</t>
  </si>
  <si>
    <t>Murray</t>
  </si>
  <si>
    <t>Dean</t>
  </si>
  <si>
    <t>Kramer</t>
  </si>
  <si>
    <t>Geoff</t>
  </si>
  <si>
    <t>Brown</t>
  </si>
  <si>
    <t>Mary</t>
  </si>
  <si>
    <t>Altman</t>
  </si>
  <si>
    <t>Henry</t>
  </si>
  <si>
    <t>Paterson</t>
  </si>
  <si>
    <t>Greg</t>
  </si>
  <si>
    <t>Connors</t>
  </si>
  <si>
    <t>Barber</t>
  </si>
  <si>
    <t>Feldsott</t>
  </si>
  <si>
    <t>Paula</t>
  </si>
  <si>
    <t>Robinson</t>
  </si>
  <si>
    <t>Hoffman</t>
  </si>
  <si>
    <t>Thomas</t>
  </si>
  <si>
    <t>Hume</t>
  </si>
  <si>
    <t>Teri</t>
  </si>
  <si>
    <t>Jennifer</t>
  </si>
  <si>
    <t>Snyder</t>
  </si>
  <si>
    <t>Brian</t>
  </si>
  <si>
    <t>Lynne</t>
  </si>
  <si>
    <t>Simmons</t>
  </si>
  <si>
    <t>Lance</t>
  </si>
  <si>
    <t>Davies</t>
  </si>
  <si>
    <t>Richard</t>
  </si>
  <si>
    <t>Gibbs</t>
  </si>
  <si>
    <t>Theresa</t>
  </si>
  <si>
    <t>Califano</t>
  </si>
  <si>
    <t>Lewis</t>
  </si>
  <si>
    <t>Molly</t>
  </si>
  <si>
    <t>Steadman</t>
  </si>
  <si>
    <t>William</t>
  </si>
  <si>
    <t>Tim</t>
  </si>
  <si>
    <t>BSaleshoff</t>
  </si>
  <si>
    <t>Jane</t>
  </si>
  <si>
    <t>Winters</t>
  </si>
  <si>
    <t>Sung</t>
  </si>
  <si>
    <t>Kim</t>
  </si>
  <si>
    <t>Todd</t>
  </si>
  <si>
    <t>Masters</t>
  </si>
  <si>
    <t>Susan</t>
  </si>
  <si>
    <t>Drake</t>
  </si>
  <si>
    <t>Cheryl</t>
  </si>
  <si>
    <t>Halal</t>
  </si>
  <si>
    <t>Seth</t>
  </si>
  <si>
    <t>Rose</t>
  </si>
  <si>
    <t>Helen</t>
  </si>
  <si>
    <t>StewSales</t>
  </si>
  <si>
    <t>Colleen</t>
  </si>
  <si>
    <t>DD</t>
  </si>
  <si>
    <t>Reagan</t>
  </si>
  <si>
    <t>Amy</t>
  </si>
  <si>
    <t>Tooley</t>
  </si>
  <si>
    <t>Harry</t>
  </si>
  <si>
    <t>Swayne</t>
  </si>
  <si>
    <t>Joshua</t>
  </si>
  <si>
    <t>Maccaluso</t>
  </si>
  <si>
    <t>Miller</t>
  </si>
  <si>
    <t>Shirley</t>
  </si>
  <si>
    <t>Dandrow</t>
  </si>
  <si>
    <t>Erin</t>
  </si>
  <si>
    <t>Maria</t>
  </si>
  <si>
    <t>Switzer</t>
  </si>
  <si>
    <t>Theodore</t>
  </si>
  <si>
    <t>Ness</t>
  </si>
  <si>
    <t>Sue</t>
  </si>
  <si>
    <t>Petty</t>
  </si>
  <si>
    <t>Wage/hour</t>
  </si>
  <si>
    <t>Product</t>
  </si>
  <si>
    <t>Total wages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</si>
</sst>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_-;\-* #,##0_-;_-* &quot;-&quot;??_-;_-@_-"/>
    <numFmt numFmtId="166" formatCode="d\-mmm\-yyyy"/>
  </numFmts>
  <fonts count="4" x14ac:knownFonts="1">
    <font>
      <sz val="11"/>
      <color theme="1"/>
      <name val="Aptos Narrow"/>
      <family val="2"/>
      <scheme val="minor"/>
    </font>
    <font>
      <sz val="11"/>
      <color theme="1"/>
      <name val="Aptos Narrow"/>
      <family val="2"/>
      <scheme val="minor"/>
    </font>
    <font>
      <i/>
      <sz val="10"/>
      <name val="Trebuchet MS"/>
      <family val="2"/>
    </font>
    <font>
      <sz val="10"/>
      <name val="Trebuchet MS"/>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medium">
        <color indexed="64"/>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14" fontId="0" fillId="0" borderId="0" xfId="0" applyNumberFormat="1"/>
    <xf numFmtId="1" fontId="0" fillId="0" borderId="0" xfId="0" applyNumberFormat="1"/>
    <xf numFmtId="164" fontId="0" fillId="0" borderId="0" xfId="1" applyFont="1"/>
    <xf numFmtId="165" fontId="0" fillId="0" borderId="0" xfId="1" applyNumberFormat="1" applyFont="1"/>
    <xf numFmtId="0" fontId="0" fillId="2" borderId="0" xfId="0" applyFill="1"/>
    <xf numFmtId="0" fontId="2" fillId="0" borderId="1" xfId="0" applyFont="1" applyBorder="1"/>
    <xf numFmtId="0" fontId="2" fillId="0" borderId="0" xfId="0" applyFont="1"/>
    <xf numFmtId="0" fontId="3" fillId="0" borderId="0" xfId="0" applyFont="1"/>
    <xf numFmtId="166" fontId="3" fillId="0" borderId="0" xfId="0" applyNumberFormat="1" applyFont="1"/>
    <xf numFmtId="166" fontId="0" fillId="0" borderId="0" xfId="0" applyNumberFormat="1"/>
    <xf numFmtId="0" fontId="0" fillId="0" borderId="0" xfId="0" quotePrefix="1"/>
  </cellXfs>
  <cellStyles count="2">
    <cellStyle name="Comma" xfId="1" builtinId="3"/>
    <cellStyle name="Normal" xfId="0" builtinId="0"/>
  </cellStyles>
  <dxfs count="4">
    <dxf>
      <numFmt numFmtId="1" formatCode="0"/>
    </dxf>
    <dxf>
      <numFmt numFmtId="167" formatCode="dd/mm/yyyy"/>
    </dxf>
    <dxf>
      <numFmt numFmtId="167" formatCode="dd/mm/yyyy"/>
    </dxf>
    <dxf>
      <font>
        <b val="0"/>
        <i val="0"/>
        <strike val="0"/>
        <condense val="0"/>
        <extend val="0"/>
        <outline val="0"/>
        <shadow val="0"/>
        <u val="none"/>
        <vertAlign val="baseline"/>
        <sz val="11"/>
        <color theme="1"/>
        <name val="Aptos Narrow"/>
        <family val="2"/>
        <scheme val="minor"/>
      </font>
      <numFmt numFmtId="165" formatCode="_-* #,##0_-;\-* #,##0_-;_-* &quot;-&quot;??_-;_-@_-"/>
    </dxf>
  </dxfs>
  <tableStyles count="0" defaultTableStyle="TableStyleMedium2" defaultPivotStyle="PivotStyleLight16"/>
  <colors>
    <mruColors>
      <color rgb="FFC1E5F5"/>
      <color rgb="FF15616D"/>
      <color rgb="FFFFECD1"/>
      <color rgb="FFFFF9EF"/>
      <color rgb="FF003249"/>
      <color rgb="FFFF9F1C"/>
      <color rgb="FFFFE8C5"/>
      <color rgb="FF168AAD"/>
      <color rgb="FFD9ED92"/>
      <color rgb="FF52B6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6"/>
              <c:pt idx="0">
                <c:v>Executive Office</c:v>
              </c:pt>
              <c:pt idx="1">
                <c:v>Admin Offices</c:v>
              </c:pt>
              <c:pt idx="2">
                <c:v>Software Engineering</c:v>
              </c:pt>
              <c:pt idx="3">
                <c:v>Sales</c:v>
              </c:pt>
              <c:pt idx="4">
                <c:v>IT/IS</c:v>
              </c:pt>
              <c:pt idx="5">
                <c:v>Production       </c:v>
              </c:pt>
            </c:strLit>
          </c:cat>
          <c:val>
            <c:numLit>
              <c:formatCode>General</c:formatCode>
              <c:ptCount val="6"/>
              <c:pt idx="0">
                <c:v>1</c:v>
              </c:pt>
              <c:pt idx="1">
                <c:v>9</c:v>
              </c:pt>
              <c:pt idx="2">
                <c:v>11</c:v>
              </c:pt>
              <c:pt idx="3">
                <c:v>31</c:v>
              </c:pt>
              <c:pt idx="4">
                <c:v>50</c:v>
              </c:pt>
              <c:pt idx="5">
                <c:v>209</c:v>
              </c:pt>
            </c:numLit>
          </c:val>
          <c:extLst>
            <c:ext xmlns:c16="http://schemas.microsoft.com/office/drawing/2014/chart" uri="{C3380CC4-5D6E-409C-BE32-E72D297353CC}">
              <c16:uniqueId val="{00000001-E586-4F15-BDD0-FEC7D26C6756}"/>
            </c:ext>
          </c:extLst>
        </c:ser>
        <c:dLbls>
          <c:showLegendKey val="0"/>
          <c:showVal val="0"/>
          <c:showCatName val="0"/>
          <c:showSerName val="0"/>
          <c:showPercent val="0"/>
          <c:showBubbleSize val="0"/>
        </c:dLbls>
        <c:gapWidth val="219"/>
        <c:axId val="1260221184"/>
        <c:axId val="1260944944"/>
      </c:barChart>
      <c:valAx>
        <c:axId val="12609449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21184"/>
        <c:crosses val="max"/>
        <c:crossBetween val="between"/>
      </c:valAx>
      <c:catAx>
        <c:axId val="1260221184"/>
        <c:scaling>
          <c:orientation val="minMax"/>
        </c:scaling>
        <c:delete val="1"/>
        <c:axPos val="b"/>
        <c:numFmt formatCode="General" sourceLinked="1"/>
        <c:majorTickMark val="out"/>
        <c:minorTickMark val="none"/>
        <c:tickLblPos val="nextTo"/>
        <c:crossAx val="12609449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5616D"/>
          </a:solidFill>
          <a:ln w="19050">
            <a:solidFill>
              <a:schemeClr val="lt1"/>
            </a:solidFill>
          </a:ln>
          <a:effectLst/>
        </c:spPr>
      </c:pivotFmt>
      <c:pivotFmt>
        <c:idx val="6"/>
        <c:spPr>
          <a:solidFill>
            <a:srgbClr val="FFECD1"/>
          </a:solidFill>
          <a:ln w="19050">
            <a:solidFill>
              <a:schemeClr val="lt1"/>
            </a:solidFill>
          </a:ln>
          <a:effectLst/>
        </c:spPr>
      </c:pivotFmt>
    </c:pivotFmts>
    <c:plotArea>
      <c:layout/>
      <c:pieChart>
        <c:varyColors val="1"/>
        <c:ser>
          <c:idx val="0"/>
          <c:order val="0"/>
          <c:tx>
            <c:v>Series1</c:v>
          </c:tx>
          <c:dPt>
            <c:idx val="0"/>
            <c:bubble3D val="0"/>
            <c:spPr>
              <a:solidFill>
                <a:srgbClr val="15616D"/>
              </a:solidFill>
              <a:ln w="19050">
                <a:solidFill>
                  <a:schemeClr val="lt1"/>
                </a:solidFill>
              </a:ln>
              <a:effectLst/>
            </c:spPr>
            <c:extLst>
              <c:ext xmlns:c16="http://schemas.microsoft.com/office/drawing/2014/chart" uri="{C3380CC4-5D6E-409C-BE32-E72D297353CC}">
                <c16:uniqueId val="{00000001-AA34-407F-9B9A-5F9CCE46EFCC}"/>
              </c:ext>
            </c:extLst>
          </c:dPt>
          <c:dPt>
            <c:idx val="1"/>
            <c:bubble3D val="0"/>
            <c:spPr>
              <a:solidFill>
                <a:srgbClr val="FFECD1"/>
              </a:solidFill>
              <a:ln w="19050">
                <a:solidFill>
                  <a:schemeClr val="lt1"/>
                </a:solidFill>
              </a:ln>
              <a:effectLst/>
            </c:spPr>
            <c:extLst>
              <c:ext xmlns:c16="http://schemas.microsoft.com/office/drawing/2014/chart" uri="{C3380CC4-5D6E-409C-BE32-E72D297353CC}">
                <c16:uniqueId val="{00000003-AA34-407F-9B9A-5F9CCE46EFCC}"/>
              </c:ext>
            </c:extLst>
          </c:dPt>
          <c:cat>
            <c:strLit>
              <c:ptCount val="2"/>
              <c:pt idx="0">
                <c:v>Female</c:v>
              </c:pt>
              <c:pt idx="1">
                <c:v>Male</c:v>
              </c:pt>
            </c:strLit>
          </c:cat>
          <c:val>
            <c:numLit>
              <c:formatCode>General</c:formatCode>
              <c:ptCount val="2"/>
              <c:pt idx="0">
                <c:v>176</c:v>
              </c:pt>
              <c:pt idx="1">
                <c:v>135</c:v>
              </c:pt>
            </c:numLit>
          </c:val>
          <c:extLst>
            <c:ext xmlns:c16="http://schemas.microsoft.com/office/drawing/2014/chart" uri="{C3380CC4-5D6E-409C-BE32-E72D297353CC}">
              <c16:uniqueId val="{00000004-AA34-407F-9B9A-5F9CCE46EF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5"/>
              <c:pt idx="0">
                <c:v>Single</c:v>
              </c:pt>
              <c:pt idx="1">
                <c:v>Married</c:v>
              </c:pt>
              <c:pt idx="2">
                <c:v>Divorced</c:v>
              </c:pt>
              <c:pt idx="3">
                <c:v>Separated</c:v>
              </c:pt>
              <c:pt idx="4">
                <c:v>Widowed</c:v>
              </c:pt>
            </c:strLit>
          </c:cat>
          <c:val>
            <c:numLit>
              <c:formatCode>General</c:formatCode>
              <c:ptCount val="5"/>
              <c:pt idx="0">
                <c:v>137</c:v>
              </c:pt>
              <c:pt idx="1">
                <c:v>124</c:v>
              </c:pt>
              <c:pt idx="2">
                <c:v>30</c:v>
              </c:pt>
              <c:pt idx="3">
                <c:v>12</c:v>
              </c:pt>
              <c:pt idx="4">
                <c:v>8</c:v>
              </c:pt>
            </c:numLit>
          </c:val>
          <c:extLst>
            <c:ext xmlns:c16="http://schemas.microsoft.com/office/drawing/2014/chart" uri="{C3380CC4-5D6E-409C-BE32-E72D297353CC}">
              <c16:uniqueId val="{00000000-D9FA-4228-BD4A-3ACDA42691F2}"/>
            </c:ext>
          </c:extLst>
        </c:ser>
        <c:dLbls>
          <c:showLegendKey val="0"/>
          <c:showVal val="0"/>
          <c:showCatName val="0"/>
          <c:showSerName val="0"/>
          <c:showPercent val="0"/>
          <c:showBubbleSize val="0"/>
        </c:dLbls>
        <c:gapWidth val="182"/>
        <c:axId val="1260226464"/>
        <c:axId val="1198770224"/>
      </c:barChart>
      <c:catAx>
        <c:axId val="12602264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70224"/>
        <c:crosses val="autoZero"/>
        <c:auto val="1"/>
        <c:lblAlgn val="ctr"/>
        <c:lblOffset val="100"/>
        <c:noMultiLvlLbl val="0"/>
      </c:catAx>
      <c:valAx>
        <c:axId val="119877022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2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3"/>
              <c:pt idx="0">
                <c:v>Eligible NonCitizen</c:v>
              </c:pt>
              <c:pt idx="1">
                <c:v>Non-Citizen</c:v>
              </c:pt>
              <c:pt idx="2">
                <c:v>US Citizen</c:v>
              </c:pt>
            </c:strLit>
          </c:cat>
          <c:val>
            <c:numLit>
              <c:formatCode>General</c:formatCode>
              <c:ptCount val="3"/>
              <c:pt idx="0">
                <c:v>12</c:v>
              </c:pt>
              <c:pt idx="1">
                <c:v>4</c:v>
              </c:pt>
              <c:pt idx="2">
                <c:v>295</c:v>
              </c:pt>
            </c:numLit>
          </c:val>
          <c:extLst>
            <c:ext xmlns:c16="http://schemas.microsoft.com/office/drawing/2014/chart" uri="{C3380CC4-5D6E-409C-BE32-E72D297353CC}">
              <c16:uniqueId val="{00000000-5F71-40F4-9C38-75208A553984}"/>
            </c:ext>
          </c:extLst>
        </c:ser>
        <c:dLbls>
          <c:showLegendKey val="0"/>
          <c:showVal val="0"/>
          <c:showCatName val="0"/>
          <c:showSerName val="0"/>
          <c:showPercent val="0"/>
          <c:showBubbleSize val="0"/>
        </c:dLbls>
        <c:gapWidth val="219"/>
        <c:overlap val="-27"/>
        <c:axId val="1260250464"/>
        <c:axId val="1260928080"/>
      </c:barChart>
      <c:catAx>
        <c:axId val="126025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928080"/>
        <c:crosses val="autoZero"/>
        <c:auto val="1"/>
        <c:lblAlgn val="ctr"/>
        <c:lblOffset val="100"/>
        <c:noMultiLvlLbl val="0"/>
      </c:catAx>
      <c:valAx>
        <c:axId val="126092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5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8.6497780230795546E-2"/>
          <c:y val="0"/>
          <c:w val="0.90515798158053895"/>
          <c:h val="1"/>
        </c:manualLayout>
      </c:layout>
      <c:barChart>
        <c:barDir val="bar"/>
        <c:grouping val="stack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0.3987138263665595</c:v>
              </c:pt>
            </c:numLit>
          </c:val>
          <c:extLst>
            <c:ext xmlns:c16="http://schemas.microsoft.com/office/drawing/2014/chart" uri="{C3380CC4-5D6E-409C-BE32-E72D297353CC}">
              <c16:uniqueId val="{00000000-2076-4DB6-8325-58D722BBE1BD}"/>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0.6012861736334405</c:v>
              </c:pt>
            </c:numLit>
          </c:val>
          <c:extLst>
            <c:ext xmlns:c16="http://schemas.microsoft.com/office/drawing/2014/chart" uri="{C3380CC4-5D6E-409C-BE32-E72D297353CC}">
              <c16:uniqueId val="{00000000-2DAE-4F9D-A340-9FECF938862A}"/>
            </c:ext>
          </c:extLst>
        </c:ser>
        <c:dLbls>
          <c:showLegendKey val="0"/>
          <c:showVal val="0"/>
          <c:showCatName val="0"/>
          <c:showSerName val="0"/>
          <c:showPercent val="0"/>
          <c:showBubbleSize val="0"/>
        </c:dLbls>
        <c:gapWidth val="150"/>
        <c:overlap val="100"/>
        <c:axId val="624129072"/>
        <c:axId val="1475376015"/>
      </c:barChart>
      <c:catAx>
        <c:axId val="624129072"/>
        <c:scaling>
          <c:orientation val="minMax"/>
        </c:scaling>
        <c:delete val="1"/>
        <c:axPos val="l"/>
        <c:numFmt formatCode="General" sourceLinked="1"/>
        <c:majorTickMark val="none"/>
        <c:minorTickMark val="none"/>
        <c:tickLblPos val="nextTo"/>
        <c:crossAx val="1475376015"/>
        <c:crosses val="autoZero"/>
        <c:auto val="1"/>
        <c:lblAlgn val="ctr"/>
        <c:lblOffset val="100"/>
        <c:noMultiLvlLbl val="0"/>
      </c:catAx>
      <c:valAx>
        <c:axId val="14753760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4129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Above 60</c:v>
              </c:pt>
              <c:pt idx="1">
                <c:v>51-60</c:v>
              </c:pt>
              <c:pt idx="2">
                <c:v>41-50</c:v>
              </c:pt>
              <c:pt idx="3">
                <c:v>31-40</c:v>
              </c:pt>
            </c:strLit>
          </c:cat>
          <c:val>
            <c:numLit>
              <c:formatCode>General</c:formatCode>
              <c:ptCount val="4"/>
              <c:pt idx="0">
                <c:v>4.5016077170418008E-2</c:v>
              </c:pt>
              <c:pt idx="1">
                <c:v>0.18327974276527331</c:v>
              </c:pt>
              <c:pt idx="2">
                <c:v>0.34726688102893893</c:v>
              </c:pt>
              <c:pt idx="3">
                <c:v>0.42443729903536975</c:v>
              </c:pt>
            </c:numLit>
          </c:val>
          <c:extLst>
            <c:ext xmlns:c16="http://schemas.microsoft.com/office/drawing/2014/chart" uri="{C3380CC4-5D6E-409C-BE32-E72D297353CC}">
              <c16:uniqueId val="{00000000-4B59-4142-8D55-ACF65AF3D8E6}"/>
            </c:ext>
          </c:extLst>
        </c:ser>
        <c:dLbls>
          <c:showLegendKey val="0"/>
          <c:showVal val="0"/>
          <c:showCatName val="0"/>
          <c:showSerName val="0"/>
          <c:showPercent val="0"/>
          <c:showBubbleSize val="0"/>
        </c:dLbls>
        <c:gapWidth val="182"/>
        <c:axId val="1367712768"/>
        <c:axId val="1248973008"/>
      </c:barChart>
      <c:catAx>
        <c:axId val="13677127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73008"/>
        <c:crosses val="autoZero"/>
        <c:auto val="1"/>
        <c:lblAlgn val="ctr"/>
        <c:lblOffset val="100"/>
        <c:noMultiLvlLbl val="0"/>
      </c:catAx>
      <c:valAx>
        <c:axId val="124897300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712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3"/>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strLit>
          </c:cat>
          <c:val>
            <c:numLit>
              <c:formatCode>General</c:formatCode>
              <c:ptCount val="13"/>
              <c:pt idx="0">
                <c:v>1</c:v>
              </c:pt>
              <c:pt idx="1">
                <c:v>2</c:v>
              </c:pt>
              <c:pt idx="2">
                <c:v>3</c:v>
              </c:pt>
              <c:pt idx="3">
                <c:v>7</c:v>
              </c:pt>
              <c:pt idx="4">
                <c:v>9</c:v>
              </c:pt>
              <c:pt idx="5">
                <c:v>83</c:v>
              </c:pt>
              <c:pt idx="6">
                <c:v>45</c:v>
              </c:pt>
              <c:pt idx="7">
                <c:v>44</c:v>
              </c:pt>
              <c:pt idx="8">
                <c:v>60</c:v>
              </c:pt>
              <c:pt idx="9">
                <c:v>36</c:v>
              </c:pt>
              <c:pt idx="10">
                <c:v>14</c:v>
              </c:pt>
              <c:pt idx="11">
                <c:v>6</c:v>
              </c:pt>
              <c:pt idx="12">
                <c:v>1</c:v>
              </c:pt>
            </c:numLit>
          </c:val>
          <c:smooth val="1"/>
          <c:extLst>
            <c:ext xmlns:c16="http://schemas.microsoft.com/office/drawing/2014/chart" uri="{C3380CC4-5D6E-409C-BE32-E72D297353CC}">
              <c16:uniqueId val="{00000000-B115-4593-B2BA-CCE84AB788E9}"/>
            </c:ext>
          </c:extLst>
        </c:ser>
        <c:dLbls>
          <c:showLegendKey val="0"/>
          <c:showVal val="0"/>
          <c:showCatName val="0"/>
          <c:showSerName val="0"/>
          <c:showPercent val="0"/>
          <c:showBubbleSize val="0"/>
        </c:dLbls>
        <c:smooth val="0"/>
        <c:axId val="1367693088"/>
        <c:axId val="1379388784"/>
      </c:lineChart>
      <c:catAx>
        <c:axId val="136769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388784"/>
        <c:crosses val="autoZero"/>
        <c:auto val="1"/>
        <c:lblAlgn val="ctr"/>
        <c:lblOffset val="100"/>
        <c:noMultiLvlLbl val="0"/>
      </c:catAx>
      <c:valAx>
        <c:axId val="137938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69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28574</xdr:colOff>
      <xdr:row>12</xdr:row>
      <xdr:rowOff>152398</xdr:rowOff>
    </xdr:from>
    <xdr:to>
      <xdr:col>14</xdr:col>
      <xdr:colOff>533400</xdr:colOff>
      <xdr:row>49</xdr:row>
      <xdr:rowOff>66675</xdr:rowOff>
    </xdr:to>
    <xdr:sp macro="" textlink="">
      <xdr:nvSpPr>
        <xdr:cNvPr id="2" name="Rectangle: Rounded Corners 1">
          <a:extLst>
            <a:ext uri="{FF2B5EF4-FFF2-40B4-BE49-F238E27FC236}">
              <a16:creationId xmlns:a16="http://schemas.microsoft.com/office/drawing/2014/main" id="{0297E8F6-D18A-49C3-8734-1729F3DDDDBC}"/>
            </a:ext>
          </a:extLst>
        </xdr:cNvPr>
        <xdr:cNvSpPr/>
      </xdr:nvSpPr>
      <xdr:spPr>
        <a:xfrm>
          <a:off x="638174" y="2438398"/>
          <a:ext cx="8429626" cy="6962777"/>
        </a:xfrm>
        <a:prstGeom prst="roundRect">
          <a:avLst>
            <a:gd name="adj" fmla="val 3048"/>
          </a:avLst>
        </a:prstGeom>
        <a:solidFill>
          <a:sysClr val="window" lastClr="FFFFFF"/>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rgbClr val="15616D"/>
              </a:solidFill>
              <a:latin typeface="+mj-lt"/>
            </a:rPr>
            <a:t>Dear Ann,</a:t>
          </a:r>
        </a:p>
        <a:p>
          <a:pPr algn="l"/>
          <a:endParaRPr lang="en-GB" sz="1400">
            <a:solidFill>
              <a:srgbClr val="15616D"/>
            </a:solidFill>
            <a:latin typeface="+mj-lt"/>
          </a:endParaRPr>
        </a:p>
        <a:p>
          <a:pPr algn="l"/>
          <a:r>
            <a:rPr lang="en-GB" sz="1400" baseline="0">
              <a:solidFill>
                <a:srgbClr val="15616D"/>
              </a:solidFill>
              <a:latin typeface="+mj-lt"/>
            </a:rPr>
            <a:t>We are currently preparing for the board review meeting next week. The HR team has been asked to come up with a report of our talent management. As the HR analyst, you have been tasked with exploring our HR database and extracting some insights that can help the management make some strategic decision leading into the next financial year.</a:t>
          </a:r>
        </a:p>
        <a:p>
          <a:pPr algn="l"/>
          <a:endParaRPr lang="en-GB" sz="1400" baseline="0">
            <a:solidFill>
              <a:srgbClr val="15616D"/>
            </a:solidFill>
            <a:latin typeface="+mj-lt"/>
          </a:endParaRPr>
        </a:p>
        <a:p>
          <a:pPr algn="l"/>
          <a:r>
            <a:rPr lang="en-GB" sz="1400" baseline="0">
              <a:solidFill>
                <a:srgbClr val="15616D"/>
              </a:solidFill>
              <a:latin typeface="+mj-lt"/>
            </a:rPr>
            <a:t>Executive management will be most interested to have visbility into the following KPIs;</a:t>
          </a:r>
        </a:p>
        <a:p>
          <a:pPr algn="l"/>
          <a:endParaRPr lang="en-GB" sz="1400" baseline="0">
            <a:solidFill>
              <a:srgbClr val="15616D"/>
            </a:solidFill>
            <a:latin typeface="+mj-lt"/>
          </a:endParaRPr>
        </a:p>
        <a:p>
          <a:pPr algn="l"/>
          <a:r>
            <a:rPr lang="en-GB" sz="1400" baseline="0">
              <a:solidFill>
                <a:srgbClr val="15616D"/>
              </a:solidFill>
              <a:latin typeface="+mj-lt"/>
            </a:rPr>
            <a:t>1. Our total staff strength</a:t>
          </a:r>
        </a:p>
        <a:p>
          <a:pPr algn="l"/>
          <a:r>
            <a:rPr lang="en-GB" sz="1400" baseline="0">
              <a:solidFill>
                <a:srgbClr val="15616D"/>
              </a:solidFill>
              <a:latin typeface="+mj-lt"/>
            </a:rPr>
            <a:t>2. Gender distribution of our workforce</a:t>
          </a:r>
        </a:p>
        <a:p>
          <a:pPr algn="l"/>
          <a:r>
            <a:rPr lang="en-GB" sz="1400" baseline="0">
              <a:solidFill>
                <a:srgbClr val="15616D"/>
              </a:solidFill>
              <a:latin typeface="+mj-lt"/>
            </a:rPr>
            <a:t>3. Visa status of current employees. It'll be nice to visualize employees requiring assistance with their visas</a:t>
          </a:r>
        </a:p>
        <a:p>
          <a:pPr algn="l"/>
          <a:r>
            <a:rPr lang="en-GB" sz="1400" baseline="0">
              <a:solidFill>
                <a:srgbClr val="15616D"/>
              </a:solidFill>
              <a:latin typeface="+mj-lt"/>
            </a:rPr>
            <a:t>4. Aging workforce analysis. what percentage of our employees are close to retirement?</a:t>
          </a:r>
        </a:p>
        <a:p>
          <a:pPr algn="l"/>
          <a:r>
            <a:rPr lang="en-GB" sz="1400" baseline="0">
              <a:solidFill>
                <a:srgbClr val="15616D"/>
              </a:solidFill>
              <a:latin typeface="+mj-lt"/>
            </a:rPr>
            <a:t>5. What is the current wage bill of all staff?</a:t>
          </a:r>
        </a:p>
        <a:p>
          <a:pPr algn="l"/>
          <a:r>
            <a:rPr lang="en-GB" sz="1400" baseline="0">
              <a:solidFill>
                <a:srgbClr val="15616D"/>
              </a:solidFill>
              <a:latin typeface="+mj-lt"/>
            </a:rPr>
            <a:t>6. Which of our hiring sources are most effective. Which should we discontinue?</a:t>
          </a:r>
        </a:p>
        <a:p>
          <a:pPr algn="l"/>
          <a:r>
            <a:rPr lang="en-GB" sz="1400" baseline="0">
              <a:solidFill>
                <a:srgbClr val="15616D"/>
              </a:solidFill>
              <a:latin typeface="+mj-lt"/>
            </a:rPr>
            <a:t>7. How has our hiring trended over time? Any particular insight?</a:t>
          </a:r>
        </a:p>
        <a:p>
          <a:pPr algn="l"/>
          <a:endParaRPr lang="en-GB" sz="1400" baseline="0">
            <a:solidFill>
              <a:srgbClr val="15616D"/>
            </a:solidFill>
            <a:latin typeface="+mj-lt"/>
          </a:endParaRPr>
        </a:p>
        <a:p>
          <a:pPr algn="l"/>
          <a:r>
            <a:rPr lang="en-GB" sz="1400" baseline="0">
              <a:solidFill>
                <a:srgbClr val="15616D"/>
              </a:solidFill>
              <a:latin typeface="+mj-lt"/>
            </a:rPr>
            <a:t>It may be nice to have this as an interactive dashboards so different managers and departments heads can filter the report as suitable.</a:t>
          </a:r>
        </a:p>
        <a:p>
          <a:pPr algn="l"/>
          <a:endParaRPr lang="en-GB" sz="1400" baseline="0">
            <a:solidFill>
              <a:srgbClr val="15616D"/>
            </a:solidFill>
            <a:latin typeface="+mj-lt"/>
          </a:endParaRPr>
        </a:p>
        <a:p>
          <a:pPr algn="l"/>
          <a:r>
            <a:rPr lang="en-GB" sz="1400" baseline="0">
              <a:solidFill>
                <a:srgbClr val="15616D"/>
              </a:solidFill>
              <a:latin typeface="+mj-lt"/>
            </a:rPr>
            <a:t>Kind regards,</a:t>
          </a:r>
        </a:p>
        <a:p>
          <a:pPr algn="l"/>
          <a:r>
            <a:rPr lang="en-GB" sz="1400" baseline="0">
              <a:solidFill>
                <a:srgbClr val="15616D"/>
              </a:solidFill>
              <a:latin typeface="+mj-lt"/>
            </a:rPr>
            <a:t>Janeth Samson</a:t>
          </a:r>
        </a:p>
        <a:p>
          <a:pPr algn="l"/>
          <a:r>
            <a:rPr lang="en-GB" sz="1400" baseline="0">
              <a:solidFill>
                <a:srgbClr val="15616D"/>
              </a:solidFill>
              <a:latin typeface="+mj-lt"/>
            </a:rPr>
            <a:t>HR Director</a:t>
          </a:r>
        </a:p>
        <a:p>
          <a:pPr algn="l"/>
          <a:r>
            <a:rPr lang="en-GB" sz="1400" baseline="0">
              <a:solidFill>
                <a:srgbClr val="15616D"/>
              </a:solidFill>
              <a:latin typeface="+mj-lt"/>
            </a:rPr>
            <a:t>Kovnerg </a:t>
          </a:r>
        </a:p>
      </xdr:txBody>
    </xdr:sp>
    <xdr:clientData/>
  </xdr:twoCellAnchor>
  <xdr:twoCellAnchor>
    <xdr:from>
      <xdr:col>2</xdr:col>
      <xdr:colOff>400049</xdr:colOff>
      <xdr:row>10</xdr:row>
      <xdr:rowOff>228599</xdr:rowOff>
    </xdr:from>
    <xdr:to>
      <xdr:col>14</xdr:col>
      <xdr:colOff>533400</xdr:colOff>
      <xdr:row>12</xdr:row>
      <xdr:rowOff>57150</xdr:rowOff>
    </xdr:to>
    <xdr:sp macro="" textlink="">
      <xdr:nvSpPr>
        <xdr:cNvPr id="3" name="Rectangle: Rounded Corners 2">
          <a:extLst>
            <a:ext uri="{FF2B5EF4-FFF2-40B4-BE49-F238E27FC236}">
              <a16:creationId xmlns:a16="http://schemas.microsoft.com/office/drawing/2014/main" id="{AD5817E5-12FC-44C5-A2FD-5A065412CD18}"/>
            </a:ext>
          </a:extLst>
        </xdr:cNvPr>
        <xdr:cNvSpPr/>
      </xdr:nvSpPr>
      <xdr:spPr>
        <a:xfrm>
          <a:off x="1619249" y="2552699"/>
          <a:ext cx="7448551" cy="857251"/>
        </a:xfrm>
        <a:prstGeom prst="roundRect">
          <a:avLst>
            <a:gd name="adj" fmla="val 3048"/>
          </a:avLst>
        </a:prstGeom>
        <a:solidFill>
          <a:sysClr val="window" lastClr="FFFFFF"/>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400">
              <a:solidFill>
                <a:srgbClr val="15616D"/>
              </a:solidFill>
              <a:latin typeface="+mj-lt"/>
            </a:rPr>
            <a:t>To:</a:t>
          </a:r>
          <a:r>
            <a:rPr lang="en-GB" sz="1400" baseline="0">
              <a:solidFill>
                <a:srgbClr val="15616D"/>
              </a:solidFill>
              <a:latin typeface="+mj-lt"/>
            </a:rPr>
            <a:t> Ann@</a:t>
          </a:r>
          <a:r>
            <a:rPr lang="en-GB" sz="1400" baseline="0">
              <a:solidFill>
                <a:srgbClr val="15616D"/>
              </a:solidFill>
              <a:latin typeface="+mj-lt"/>
              <a:ea typeface="+mn-ea"/>
              <a:cs typeface="+mn-cs"/>
            </a:rPr>
            <a:t>Kovnerg.com</a:t>
          </a:r>
        </a:p>
      </xdr:txBody>
    </xdr:sp>
    <xdr:clientData/>
  </xdr:twoCellAnchor>
  <xdr:twoCellAnchor>
    <xdr:from>
      <xdr:col>2</xdr:col>
      <xdr:colOff>381000</xdr:colOff>
      <xdr:row>9</xdr:row>
      <xdr:rowOff>47624</xdr:rowOff>
    </xdr:from>
    <xdr:to>
      <xdr:col>14</xdr:col>
      <xdr:colOff>523875</xdr:colOff>
      <xdr:row>10</xdr:row>
      <xdr:rowOff>152399</xdr:rowOff>
    </xdr:to>
    <xdr:sp macro="" textlink="">
      <xdr:nvSpPr>
        <xdr:cNvPr id="4" name="Rectangle: Rounded Corners 3">
          <a:extLst>
            <a:ext uri="{FF2B5EF4-FFF2-40B4-BE49-F238E27FC236}">
              <a16:creationId xmlns:a16="http://schemas.microsoft.com/office/drawing/2014/main" id="{621400A8-A5A9-4A73-89ED-BF9A364C2CBD}"/>
            </a:ext>
          </a:extLst>
        </xdr:cNvPr>
        <xdr:cNvSpPr/>
      </xdr:nvSpPr>
      <xdr:spPr>
        <a:xfrm>
          <a:off x="1600200" y="1762124"/>
          <a:ext cx="7458075" cy="714375"/>
        </a:xfrm>
        <a:prstGeom prst="roundRect">
          <a:avLst>
            <a:gd name="adj" fmla="val 3048"/>
          </a:avLst>
        </a:prstGeom>
        <a:solidFill>
          <a:sysClr val="window" lastClr="FFFFFF"/>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rgbClr val="15616D"/>
              </a:solidFill>
              <a:latin typeface="+mj-lt"/>
            </a:rPr>
            <a:t>From: Janeth</a:t>
          </a:r>
          <a:r>
            <a:rPr lang="en-GB" sz="1400" baseline="0">
              <a:solidFill>
                <a:srgbClr val="15616D"/>
              </a:solidFill>
              <a:latin typeface="+mj-lt"/>
            </a:rPr>
            <a:t>@Kovnerg.com</a:t>
          </a:r>
          <a:endParaRPr lang="en-GB" sz="1400">
            <a:solidFill>
              <a:srgbClr val="15616D"/>
            </a:solidFill>
            <a:latin typeface="+mj-lt"/>
          </a:endParaRPr>
        </a:p>
      </xdr:txBody>
    </xdr:sp>
    <xdr:clientData/>
  </xdr:twoCellAnchor>
  <xdr:twoCellAnchor editAs="oneCell">
    <xdr:from>
      <xdr:col>2</xdr:col>
      <xdr:colOff>342900</xdr:colOff>
      <xdr:row>5</xdr:row>
      <xdr:rowOff>152400</xdr:rowOff>
    </xdr:from>
    <xdr:to>
      <xdr:col>3</xdr:col>
      <xdr:colOff>495300</xdr:colOff>
      <xdr:row>8</xdr:row>
      <xdr:rowOff>144083</xdr:rowOff>
    </xdr:to>
    <xdr:pic>
      <xdr:nvPicPr>
        <xdr:cNvPr id="5" name="Picture 4" descr="New message flat icon email and website button Vector Image">
          <a:extLst>
            <a:ext uri="{FF2B5EF4-FFF2-40B4-BE49-F238E27FC236}">
              <a16:creationId xmlns:a16="http://schemas.microsoft.com/office/drawing/2014/main" id="{1D9F4EFB-9DFB-4C41-86E6-79F2ECC6D36B}"/>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4593" r="5092" b="20600"/>
        <a:stretch/>
      </xdr:blipFill>
      <xdr:spPr bwMode="auto">
        <a:xfrm>
          <a:off x="1562100" y="1104900"/>
          <a:ext cx="762000" cy="563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10</xdr:row>
      <xdr:rowOff>314326</xdr:rowOff>
    </xdr:from>
    <xdr:to>
      <xdr:col>2</xdr:col>
      <xdr:colOff>266700</xdr:colOff>
      <xdr:row>12</xdr:row>
      <xdr:rowOff>28575</xdr:rowOff>
    </xdr:to>
    <xdr:pic>
      <xdr:nvPicPr>
        <xdr:cNvPr id="8" name="Picture 7" descr="Black Woman Smiling">
          <a:extLst>
            <a:ext uri="{FF2B5EF4-FFF2-40B4-BE49-F238E27FC236}">
              <a16:creationId xmlns:a16="http://schemas.microsoft.com/office/drawing/2014/main" id="{10AFF00D-794C-87BC-CEA5-669AAA9D2EFA}"/>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4" t="-497" r="50327" b="34080"/>
        <a:stretch/>
      </xdr:blipFill>
      <xdr:spPr bwMode="auto">
        <a:xfrm>
          <a:off x="742951" y="2638426"/>
          <a:ext cx="742949" cy="742949"/>
        </a:xfrm>
        <a:prstGeom prst="flowChartConnector">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123826</xdr:colOff>
      <xdr:row>9</xdr:row>
      <xdr:rowOff>47626</xdr:rowOff>
    </xdr:from>
    <xdr:to>
      <xdr:col>2</xdr:col>
      <xdr:colOff>257176</xdr:colOff>
      <xdr:row>10</xdr:row>
      <xdr:rowOff>189111</xdr:rowOff>
    </xdr:to>
    <xdr:pic>
      <xdr:nvPicPr>
        <xdr:cNvPr id="9" name="Picture 8" descr="119,900+ Black Woman Smiling Office Stock Photos, Pictures &amp; Royalty-Free  Images - iStock">
          <a:extLst>
            <a:ext uri="{FF2B5EF4-FFF2-40B4-BE49-F238E27FC236}">
              <a16:creationId xmlns:a16="http://schemas.microsoft.com/office/drawing/2014/main" id="{B783FD39-B5B1-EF45-88EF-CB45B8E9B56F}"/>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35129" t="980" r="20100" b="31128"/>
        <a:stretch/>
      </xdr:blipFill>
      <xdr:spPr bwMode="auto">
        <a:xfrm>
          <a:off x="733426" y="1762126"/>
          <a:ext cx="742950" cy="751085"/>
        </a:xfrm>
        <a:prstGeom prst="flowChartConnector">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568890</xdr:colOff>
      <xdr:row>0</xdr:row>
      <xdr:rowOff>156575</xdr:rowOff>
    </xdr:from>
    <xdr:to>
      <xdr:col>20</xdr:col>
      <xdr:colOff>574110</xdr:colOff>
      <xdr:row>47</xdr:row>
      <xdr:rowOff>104384</xdr:rowOff>
    </xdr:to>
    <xdr:sp macro="" textlink="">
      <xdr:nvSpPr>
        <xdr:cNvPr id="6" name="Rectangle 5">
          <a:extLst>
            <a:ext uri="{FF2B5EF4-FFF2-40B4-BE49-F238E27FC236}">
              <a16:creationId xmlns:a16="http://schemas.microsoft.com/office/drawing/2014/main" id="{C21F6531-3820-5395-35F8-B79F904DBBD0}"/>
            </a:ext>
          </a:extLst>
        </xdr:cNvPr>
        <xdr:cNvSpPr/>
      </xdr:nvSpPr>
      <xdr:spPr>
        <a:xfrm>
          <a:off x="1852808" y="156575"/>
          <a:ext cx="11560480" cy="8533357"/>
        </a:xfrm>
        <a:prstGeom prst="rect">
          <a:avLst/>
        </a:prstGeom>
        <a:solidFill>
          <a:srgbClr val="FDFF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73069</xdr:colOff>
      <xdr:row>5</xdr:row>
      <xdr:rowOff>7775</xdr:rowOff>
    </xdr:from>
    <xdr:to>
      <xdr:col>20</xdr:col>
      <xdr:colOff>538959</xdr:colOff>
      <xdr:row>20</xdr:row>
      <xdr:rowOff>93945</xdr:rowOff>
    </xdr:to>
    <xdr:graphicFrame macro="">
      <xdr:nvGraphicFramePr>
        <xdr:cNvPr id="2" name="Chart 1">
          <a:extLst>
            <a:ext uri="{FF2B5EF4-FFF2-40B4-BE49-F238E27FC236}">
              <a16:creationId xmlns:a16="http://schemas.microsoft.com/office/drawing/2014/main" id="{5CBD0C12-A5F5-4D79-A3EB-C105D35C7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297180</xdr:colOff>
      <xdr:row>5</xdr:row>
      <xdr:rowOff>5714</xdr:rowOff>
    </xdr:from>
    <xdr:to>
      <xdr:col>11</xdr:col>
      <xdr:colOff>495822</xdr:colOff>
      <xdr:row>20</xdr:row>
      <xdr:rowOff>99060</xdr:rowOff>
    </xdr:to>
    <xdr:graphicFrame macro="">
      <xdr:nvGraphicFramePr>
        <xdr:cNvPr id="3" name="Chart 2">
          <a:extLst>
            <a:ext uri="{FF2B5EF4-FFF2-40B4-BE49-F238E27FC236}">
              <a16:creationId xmlns:a16="http://schemas.microsoft.com/office/drawing/2014/main" id="{88AEB833-C206-44EE-AE73-58F5E3316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93077</xdr:colOff>
      <xdr:row>20</xdr:row>
      <xdr:rowOff>162690</xdr:rowOff>
    </xdr:from>
    <xdr:to>
      <xdr:col>20</xdr:col>
      <xdr:colOff>537575</xdr:colOff>
      <xdr:row>32</xdr:row>
      <xdr:rowOff>156576</xdr:rowOff>
    </xdr:to>
    <xdr:graphicFrame macro="">
      <xdr:nvGraphicFramePr>
        <xdr:cNvPr id="4" name="Chart 3">
          <a:extLst>
            <a:ext uri="{FF2B5EF4-FFF2-40B4-BE49-F238E27FC236}">
              <a16:creationId xmlns:a16="http://schemas.microsoft.com/office/drawing/2014/main" id="{88AF924A-95D6-4061-B645-BB41426A9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314247</xdr:colOff>
      <xdr:row>20</xdr:row>
      <xdr:rowOff>176616</xdr:rowOff>
    </xdr:from>
    <xdr:to>
      <xdr:col>11</xdr:col>
      <xdr:colOff>511479</xdr:colOff>
      <xdr:row>32</xdr:row>
      <xdr:rowOff>156575</xdr:rowOff>
    </xdr:to>
    <xdr:graphicFrame macro="">
      <xdr:nvGraphicFramePr>
        <xdr:cNvPr id="5" name="Chart 4">
          <a:extLst>
            <a:ext uri="{FF2B5EF4-FFF2-40B4-BE49-F238E27FC236}">
              <a16:creationId xmlns:a16="http://schemas.microsoft.com/office/drawing/2014/main" id="{DA39570B-FBA4-4CFC-B751-BAA0EA83C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78026</xdr:colOff>
      <xdr:row>0</xdr:row>
      <xdr:rowOff>0</xdr:rowOff>
    </xdr:from>
    <xdr:to>
      <xdr:col>20</xdr:col>
      <xdr:colOff>501041</xdr:colOff>
      <xdr:row>4</xdr:row>
      <xdr:rowOff>160019</xdr:rowOff>
    </xdr:to>
    <xdr:graphicFrame macro="">
      <xdr:nvGraphicFramePr>
        <xdr:cNvPr id="7" name="Chart 6">
          <a:extLst>
            <a:ext uri="{FF2B5EF4-FFF2-40B4-BE49-F238E27FC236}">
              <a16:creationId xmlns:a16="http://schemas.microsoft.com/office/drawing/2014/main" id="{5A9FA7E5-F3AA-4F9F-A26B-58B90AF0B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313150</xdr:colOff>
      <xdr:row>33</xdr:row>
      <xdr:rowOff>57410</xdr:rowOff>
    </xdr:from>
    <xdr:to>
      <xdr:col>11</xdr:col>
      <xdr:colOff>501041</xdr:colOff>
      <xdr:row>47</xdr:row>
      <xdr:rowOff>67849</xdr:rowOff>
    </xdr:to>
    <xdr:graphicFrame macro="">
      <xdr:nvGraphicFramePr>
        <xdr:cNvPr id="8" name="Chart 7">
          <a:extLst>
            <a:ext uri="{FF2B5EF4-FFF2-40B4-BE49-F238E27FC236}">
              <a16:creationId xmlns:a16="http://schemas.microsoft.com/office/drawing/2014/main" id="{776BAC1F-CEF5-4D63-9B59-ECE9B46D6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59475</xdr:colOff>
      <xdr:row>0</xdr:row>
      <xdr:rowOff>150495</xdr:rowOff>
    </xdr:from>
    <xdr:to>
      <xdr:col>2</xdr:col>
      <xdr:colOff>627164</xdr:colOff>
      <xdr:row>47</xdr:row>
      <xdr:rowOff>110840</xdr:rowOff>
    </xdr:to>
    <xdr:sp macro="" textlink="">
      <xdr:nvSpPr>
        <xdr:cNvPr id="9" name="Rectangle: Top Corners Rounded 8">
          <a:extLst>
            <a:ext uri="{FF2B5EF4-FFF2-40B4-BE49-F238E27FC236}">
              <a16:creationId xmlns:a16="http://schemas.microsoft.com/office/drawing/2014/main" id="{01F09C92-3945-FD2F-FFA2-BEDC7262FAB0}"/>
            </a:ext>
          </a:extLst>
        </xdr:cNvPr>
        <xdr:cNvSpPr/>
      </xdr:nvSpPr>
      <xdr:spPr>
        <a:xfrm rot="16200000">
          <a:off x="-3287668" y="3497638"/>
          <a:ext cx="8545893" cy="1851607"/>
        </a:xfrm>
        <a:prstGeom prst="round2SameRect">
          <a:avLst/>
        </a:prstGeom>
        <a:solidFill>
          <a:srgbClr val="1561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83507</xdr:colOff>
      <xdr:row>33</xdr:row>
      <xdr:rowOff>88726</xdr:rowOff>
    </xdr:from>
    <xdr:to>
      <xdr:col>20</xdr:col>
      <xdr:colOff>535515</xdr:colOff>
      <xdr:row>47</xdr:row>
      <xdr:rowOff>97079</xdr:rowOff>
    </xdr:to>
    <xdr:graphicFrame macro="">
      <xdr:nvGraphicFramePr>
        <xdr:cNvPr id="10" name="Chart 9">
          <a:extLst>
            <a:ext uri="{FF2B5EF4-FFF2-40B4-BE49-F238E27FC236}">
              <a16:creationId xmlns:a16="http://schemas.microsoft.com/office/drawing/2014/main" id="{27073FA2-AD50-48C1-BBFA-45AAA1302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333296</xdr:colOff>
      <xdr:row>1</xdr:row>
      <xdr:rowOff>52816</xdr:rowOff>
    </xdr:from>
    <xdr:to>
      <xdr:col>11</xdr:col>
      <xdr:colOff>516698</xdr:colOff>
      <xdr:row>4</xdr:row>
      <xdr:rowOff>94517</xdr:rowOff>
    </xdr:to>
    <xdr:sp macro="" textlink="">
      <xdr:nvSpPr>
        <xdr:cNvPr id="11" name="TextBox 10">
          <a:extLst>
            <a:ext uri="{FF2B5EF4-FFF2-40B4-BE49-F238E27FC236}">
              <a16:creationId xmlns:a16="http://schemas.microsoft.com/office/drawing/2014/main" id="{C4118ABA-3BB3-9E90-2209-C8BE9F2A895B}"/>
            </a:ext>
          </a:extLst>
        </xdr:cNvPr>
        <xdr:cNvSpPr txBox="1"/>
      </xdr:nvSpPr>
      <xdr:spPr>
        <a:xfrm>
          <a:off x="2259173" y="235487"/>
          <a:ext cx="5319073" cy="5897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Kovnerg HR Employee Demography Dashboard</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E9A28B-5FD0-47EB-9258-E0A151CB031E}" name="Table2" displayName="Table2" ref="A1:O312" totalsRowShown="0">
  <autoFilter ref="A1:O312" xr:uid="{EDE9A28B-5FD0-47EB-9258-E0A151CB031E}"/>
  <tableColumns count="15">
    <tableColumn id="1" xr3:uid="{36555A2B-1EC9-4285-B8C9-068485AEECED}" name="Employee_Name"/>
    <tableColumn id="2" xr3:uid="{951AE239-8648-4F3C-8690-7C9D34EBEC22}" name="EmpID"/>
    <tableColumn id="3" xr3:uid="{EA474C78-DAD0-4065-B534-9DEC2CFD21D5}" name="Salary" dataDxfId="3" dataCellStyle="Comma"/>
    <tableColumn id="4" xr3:uid="{92271969-235C-4712-8C1F-976117A5509F}" name="Position"/>
    <tableColumn id="5" xr3:uid="{27C0508A-EB3D-4A98-A352-63D5C66BB676}" name="State"/>
    <tableColumn id="6" xr3:uid="{1F870B96-D56B-429F-BCCA-A787FBD4BB0A}" name="DOB" dataDxfId="2"/>
    <tableColumn id="7" xr3:uid="{593DC56D-DBA3-4BE4-951D-1885976DE6BC}" name="Sex"/>
    <tableColumn id="8" xr3:uid="{EA5C9374-2083-41DE-A198-139270ED094E}" name="MaritalDesc"/>
    <tableColumn id="9" xr3:uid="{04CC855B-8AE5-4D6A-AB92-483ED4913E2D}" name="CitizenDesc"/>
    <tableColumn id="10" xr3:uid="{1A218601-B0F3-4FDA-987E-B428AE65BCE2}" name="RaceDesc"/>
    <tableColumn id="11" xr3:uid="{756C979D-D747-45C0-8FDA-745BA1CE9C67}" name="DateofHire" dataDxfId="1"/>
    <tableColumn id="12" xr3:uid="{9E93B095-1BCE-4A9F-80B6-B38A09F6AEEA}" name="Department"/>
    <tableColumn id="13" xr3:uid="{B820D84F-5E6C-49B5-A4DE-CEAA454308ED}" name="ManagerName"/>
    <tableColumn id="14" xr3:uid="{4B7E451B-A465-440E-A456-EBDF7A76DDAB}" name="RecruitmentSource"/>
    <tableColumn id="15" xr3:uid="{5C5FDBF4-F9C0-4190-9A29-658195A4EE6B}" name="Age" dataDxfId="0">
      <calculatedColumnFormula>INT(YEARFRAC(F2,TODAY(),1))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B698A-4BBB-4369-8927-1D5B4A83F2E9}">
  <dimension ref="A10:A11"/>
  <sheetViews>
    <sheetView showGridLines="0" zoomScale="62" zoomScaleNormal="62" workbookViewId="0">
      <selection activeCell="A16" sqref="A16"/>
    </sheetView>
  </sheetViews>
  <sheetFormatPr defaultRowHeight="14.4" x14ac:dyDescent="0.3"/>
  <sheetData>
    <row r="10" ht="48" customHeight="1" x14ac:dyDescent="0.3"/>
    <row r="11" ht="66" customHeigh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C7400-A505-4813-A23E-82C02A0CC2F1}">
  <dimension ref="A1:P314"/>
  <sheetViews>
    <sheetView tabSelected="1" zoomScale="80" zoomScaleNormal="80" workbookViewId="0">
      <selection activeCell="L30" sqref="L30"/>
    </sheetView>
  </sheetViews>
  <sheetFormatPr defaultRowHeight="14.4" x14ac:dyDescent="0.3"/>
  <cols>
    <col min="1" max="1" width="23.44140625" bestFit="1" customWidth="1"/>
    <col min="2" max="2" width="8.88671875" customWidth="1"/>
    <col min="3" max="3" width="9.5546875" style="4" customWidth="1"/>
    <col min="4" max="4" width="28.33203125" bestFit="1" customWidth="1"/>
    <col min="5" max="5" width="7.5546875" customWidth="1"/>
    <col min="6" max="6" width="11.5546875" style="1" customWidth="1"/>
    <col min="7" max="7" width="6.109375" customWidth="1"/>
    <col min="8" max="8" width="13.44140625" customWidth="1"/>
    <col min="9" max="9" width="18.109375" customWidth="1"/>
    <col min="10" max="10" width="31" customWidth="1"/>
    <col min="11" max="11" width="12.44140625" style="1" customWidth="1"/>
    <col min="12" max="12" width="19.88671875" customWidth="1"/>
    <col min="13" max="13" width="18.44140625" customWidth="1"/>
    <col min="14" max="14" width="22.88671875" customWidth="1"/>
    <col min="15" max="15" width="11.33203125" customWidth="1"/>
  </cols>
  <sheetData>
    <row r="1" spans="1:16" x14ac:dyDescent="0.3">
      <c r="A1" t="s">
        <v>0</v>
      </c>
      <c r="B1" t="s">
        <v>312</v>
      </c>
      <c r="C1" s="4" t="s">
        <v>313</v>
      </c>
      <c r="D1" t="s">
        <v>314</v>
      </c>
      <c r="E1" t="s">
        <v>347</v>
      </c>
      <c r="F1" s="1" t="s">
        <v>376</v>
      </c>
      <c r="G1" t="s">
        <v>377</v>
      </c>
      <c r="H1" t="s">
        <v>380</v>
      </c>
      <c r="I1" t="s">
        <v>386</v>
      </c>
      <c r="J1" t="s">
        <v>390</v>
      </c>
      <c r="K1" s="1" t="s">
        <v>397</v>
      </c>
      <c r="L1" t="s">
        <v>398</v>
      </c>
      <c r="M1" t="s">
        <v>405</v>
      </c>
      <c r="N1" t="s">
        <v>427</v>
      </c>
      <c r="O1" t="s">
        <v>437</v>
      </c>
    </row>
    <row r="2" spans="1:16" x14ac:dyDescent="0.3">
      <c r="A2" t="s">
        <v>1</v>
      </c>
      <c r="B2">
        <v>10026</v>
      </c>
      <c r="C2" s="4">
        <v>62506</v>
      </c>
      <c r="D2" t="s">
        <v>315</v>
      </c>
      <c r="E2" t="s">
        <v>348</v>
      </c>
      <c r="F2" s="1">
        <v>30507</v>
      </c>
      <c r="G2" t="s">
        <v>378</v>
      </c>
      <c r="H2" t="s">
        <v>381</v>
      </c>
      <c r="I2" t="s">
        <v>387</v>
      </c>
      <c r="J2" t="s">
        <v>391</v>
      </c>
      <c r="K2" s="1">
        <v>40729</v>
      </c>
      <c r="L2" t="s">
        <v>399</v>
      </c>
      <c r="M2" t="s">
        <v>406</v>
      </c>
      <c r="N2" t="s">
        <v>428</v>
      </c>
      <c r="O2" s="2">
        <f ca="1">INT(YEARFRAC(F2,TODAY(),1))</f>
        <v>41</v>
      </c>
      <c r="P2" s="2"/>
    </row>
    <row r="3" spans="1:16" x14ac:dyDescent="0.3">
      <c r="A3" t="s">
        <v>2</v>
      </c>
      <c r="B3">
        <v>10084</v>
      </c>
      <c r="C3" s="4">
        <v>104437</v>
      </c>
      <c r="D3" t="s">
        <v>316</v>
      </c>
      <c r="E3" t="s">
        <v>348</v>
      </c>
      <c r="F3" s="1">
        <v>27519</v>
      </c>
      <c r="G3" t="s">
        <v>378</v>
      </c>
      <c r="H3" t="s">
        <v>382</v>
      </c>
      <c r="I3" t="s">
        <v>387</v>
      </c>
      <c r="J3" t="s">
        <v>391</v>
      </c>
      <c r="K3" s="1">
        <v>42093</v>
      </c>
      <c r="L3" t="s">
        <v>400</v>
      </c>
      <c r="M3" t="s">
        <v>407</v>
      </c>
      <c r="N3" t="s">
        <v>429</v>
      </c>
      <c r="O3" s="2">
        <f t="shared" ref="O3:O66" ca="1" si="0">INT(YEARFRAC(F3,TODAY(),1))</f>
        <v>49</v>
      </c>
      <c r="P3" s="2"/>
    </row>
    <row r="4" spans="1:16" x14ac:dyDescent="0.3">
      <c r="A4" t="s">
        <v>3</v>
      </c>
      <c r="B4">
        <v>10196</v>
      </c>
      <c r="C4" s="4">
        <v>64955</v>
      </c>
      <c r="D4" t="s">
        <v>317</v>
      </c>
      <c r="E4" t="s">
        <v>348</v>
      </c>
      <c r="F4" s="1">
        <v>32405</v>
      </c>
      <c r="G4" t="s">
        <v>379</v>
      </c>
      <c r="H4" t="s">
        <v>382</v>
      </c>
      <c r="I4" t="s">
        <v>387</v>
      </c>
      <c r="J4" t="s">
        <v>391</v>
      </c>
      <c r="K4" s="1">
        <v>40729</v>
      </c>
      <c r="L4" t="s">
        <v>399</v>
      </c>
      <c r="M4" t="s">
        <v>408</v>
      </c>
      <c r="N4" t="s">
        <v>428</v>
      </c>
      <c r="O4" s="2">
        <f t="shared" ca="1" si="0"/>
        <v>36</v>
      </c>
      <c r="P4" s="2"/>
    </row>
    <row r="5" spans="1:16" x14ac:dyDescent="0.3">
      <c r="A5" t="s">
        <v>4</v>
      </c>
      <c r="B5">
        <v>10088</v>
      </c>
      <c r="C5" s="4">
        <v>64991</v>
      </c>
      <c r="D5" t="s">
        <v>315</v>
      </c>
      <c r="E5" t="s">
        <v>348</v>
      </c>
      <c r="F5" s="1">
        <v>32413</v>
      </c>
      <c r="G5" t="s">
        <v>379</v>
      </c>
      <c r="H5" t="s">
        <v>382</v>
      </c>
      <c r="I5" t="s">
        <v>387</v>
      </c>
      <c r="J5" t="s">
        <v>391</v>
      </c>
      <c r="K5" s="1">
        <v>39454</v>
      </c>
      <c r="L5" t="s">
        <v>399</v>
      </c>
      <c r="M5" t="s">
        <v>409</v>
      </c>
      <c r="N5" t="s">
        <v>429</v>
      </c>
      <c r="O5" s="2">
        <f t="shared" ca="1" si="0"/>
        <v>36</v>
      </c>
      <c r="P5" s="2"/>
    </row>
    <row r="6" spans="1:16" x14ac:dyDescent="0.3">
      <c r="A6" t="s">
        <v>5</v>
      </c>
      <c r="B6">
        <v>10069</v>
      </c>
      <c r="C6" s="4">
        <v>50825</v>
      </c>
      <c r="D6" t="s">
        <v>315</v>
      </c>
      <c r="E6" t="s">
        <v>348</v>
      </c>
      <c r="F6" s="1">
        <v>32759</v>
      </c>
      <c r="G6" t="s">
        <v>379</v>
      </c>
      <c r="H6" t="s">
        <v>383</v>
      </c>
      <c r="I6" t="s">
        <v>387</v>
      </c>
      <c r="J6" t="s">
        <v>391</v>
      </c>
      <c r="K6" s="1">
        <v>40735</v>
      </c>
      <c r="L6" t="s">
        <v>399</v>
      </c>
      <c r="M6" t="s">
        <v>410</v>
      </c>
      <c r="N6" t="s">
        <v>430</v>
      </c>
      <c r="O6" s="2">
        <f t="shared" ca="1" si="0"/>
        <v>35</v>
      </c>
      <c r="P6" s="2"/>
    </row>
    <row r="7" spans="1:16" x14ac:dyDescent="0.3">
      <c r="A7" t="s">
        <v>6</v>
      </c>
      <c r="B7">
        <v>10002</v>
      </c>
      <c r="C7" s="4">
        <v>57568</v>
      </c>
      <c r="D7" t="s">
        <v>315</v>
      </c>
      <c r="E7" t="s">
        <v>348</v>
      </c>
      <c r="F7" s="1">
        <v>28267</v>
      </c>
      <c r="G7" t="s">
        <v>379</v>
      </c>
      <c r="H7" t="s">
        <v>381</v>
      </c>
      <c r="I7" t="s">
        <v>387</v>
      </c>
      <c r="J7" t="s">
        <v>391</v>
      </c>
      <c r="K7" s="1">
        <v>40917</v>
      </c>
      <c r="L7" t="s">
        <v>399</v>
      </c>
      <c r="M7" t="s">
        <v>411</v>
      </c>
      <c r="N7" t="s">
        <v>428</v>
      </c>
      <c r="O7" s="2">
        <f t="shared" ca="1" si="0"/>
        <v>47</v>
      </c>
      <c r="P7" s="2"/>
    </row>
    <row r="8" spans="1:16" x14ac:dyDescent="0.3">
      <c r="A8" t="s">
        <v>7</v>
      </c>
      <c r="B8">
        <v>10194</v>
      </c>
      <c r="C8" s="4">
        <v>95660</v>
      </c>
      <c r="D8" t="s">
        <v>318</v>
      </c>
      <c r="E8" t="s">
        <v>348</v>
      </c>
      <c r="F8" s="1">
        <v>28999</v>
      </c>
      <c r="G8" t="s">
        <v>379</v>
      </c>
      <c r="H8" t="s">
        <v>381</v>
      </c>
      <c r="I8" t="s">
        <v>387</v>
      </c>
      <c r="J8" t="s">
        <v>391</v>
      </c>
      <c r="K8" s="1">
        <v>41953</v>
      </c>
      <c r="L8" t="s">
        <v>401</v>
      </c>
      <c r="M8" t="s">
        <v>412</v>
      </c>
      <c r="N8" t="s">
        <v>428</v>
      </c>
      <c r="O8" s="2">
        <f t="shared" ca="1" si="0"/>
        <v>45</v>
      </c>
      <c r="P8" s="2"/>
    </row>
    <row r="9" spans="1:16" x14ac:dyDescent="0.3">
      <c r="A9" t="s">
        <v>8</v>
      </c>
      <c r="B9">
        <v>10062</v>
      </c>
      <c r="C9" s="4">
        <v>59365</v>
      </c>
      <c r="D9" t="s">
        <v>315</v>
      </c>
      <c r="E9" t="s">
        <v>348</v>
      </c>
      <c r="F9" s="1">
        <v>30365</v>
      </c>
      <c r="G9" t="s">
        <v>378</v>
      </c>
      <c r="H9" t="s">
        <v>384</v>
      </c>
      <c r="I9" t="s">
        <v>387</v>
      </c>
      <c r="J9" t="s">
        <v>391</v>
      </c>
      <c r="K9" s="1">
        <v>41547</v>
      </c>
      <c r="L9" t="s">
        <v>399</v>
      </c>
      <c r="M9" t="s">
        <v>413</v>
      </c>
      <c r="N9" t="s">
        <v>431</v>
      </c>
      <c r="O9" s="2">
        <f t="shared" ca="1" si="0"/>
        <v>42</v>
      </c>
      <c r="P9" s="2"/>
    </row>
    <row r="10" spans="1:16" x14ac:dyDescent="0.3">
      <c r="A10" t="s">
        <v>9</v>
      </c>
      <c r="B10">
        <v>10114</v>
      </c>
      <c r="C10" s="4">
        <v>47837</v>
      </c>
      <c r="D10" t="s">
        <v>315</v>
      </c>
      <c r="E10" t="s">
        <v>348</v>
      </c>
      <c r="F10" s="1">
        <v>25610</v>
      </c>
      <c r="G10" t="s">
        <v>379</v>
      </c>
      <c r="H10" t="s">
        <v>381</v>
      </c>
      <c r="I10" t="s">
        <v>387</v>
      </c>
      <c r="J10" t="s">
        <v>392</v>
      </c>
      <c r="K10" s="1">
        <v>40000</v>
      </c>
      <c r="L10" t="s">
        <v>399</v>
      </c>
      <c r="M10" t="s">
        <v>414</v>
      </c>
      <c r="N10" t="s">
        <v>432</v>
      </c>
      <c r="O10" s="2">
        <f t="shared" ca="1" si="0"/>
        <v>55</v>
      </c>
      <c r="P10" s="2"/>
    </row>
    <row r="11" spans="1:16" x14ac:dyDescent="0.3">
      <c r="A11" t="s">
        <v>10</v>
      </c>
      <c r="B11">
        <v>10250</v>
      </c>
      <c r="C11" s="4">
        <v>50178</v>
      </c>
      <c r="D11" t="s">
        <v>319</v>
      </c>
      <c r="E11" t="s">
        <v>348</v>
      </c>
      <c r="F11" s="1">
        <v>32149</v>
      </c>
      <c r="G11" t="s">
        <v>378</v>
      </c>
      <c r="H11" t="s">
        <v>383</v>
      </c>
      <c r="I11" t="s">
        <v>387</v>
      </c>
      <c r="J11" t="s">
        <v>391</v>
      </c>
      <c r="K11" s="1">
        <v>42009</v>
      </c>
      <c r="L11" t="s">
        <v>400</v>
      </c>
      <c r="M11" t="s">
        <v>415</v>
      </c>
      <c r="N11" t="s">
        <v>429</v>
      </c>
      <c r="O11" s="2">
        <f t="shared" ca="1" si="0"/>
        <v>37</v>
      </c>
      <c r="P11" s="2"/>
    </row>
    <row r="12" spans="1:16" x14ac:dyDescent="0.3">
      <c r="A12" t="s">
        <v>11</v>
      </c>
      <c r="B12">
        <v>10252</v>
      </c>
      <c r="C12" s="4">
        <v>54670</v>
      </c>
      <c r="D12" t="s">
        <v>315</v>
      </c>
      <c r="E12" t="s">
        <v>348</v>
      </c>
      <c r="F12" s="1">
        <v>27041</v>
      </c>
      <c r="G12" t="s">
        <v>379</v>
      </c>
      <c r="H12" t="s">
        <v>382</v>
      </c>
      <c r="I12" t="s">
        <v>387</v>
      </c>
      <c r="J12" t="s">
        <v>392</v>
      </c>
      <c r="K12" s="1">
        <v>40553</v>
      </c>
      <c r="L12" t="s">
        <v>399</v>
      </c>
      <c r="M12" t="s">
        <v>416</v>
      </c>
      <c r="N12" t="s">
        <v>432</v>
      </c>
      <c r="O12" s="2">
        <f t="shared" ca="1" si="0"/>
        <v>51</v>
      </c>
      <c r="P12" s="2"/>
    </row>
    <row r="13" spans="1:16" x14ac:dyDescent="0.3">
      <c r="A13" t="s">
        <v>12</v>
      </c>
      <c r="B13">
        <v>10242</v>
      </c>
      <c r="C13" s="4">
        <v>47211</v>
      </c>
      <c r="D13" t="s">
        <v>315</v>
      </c>
      <c r="E13" t="s">
        <v>348</v>
      </c>
      <c r="F13" s="1">
        <v>27081</v>
      </c>
      <c r="G13" t="s">
        <v>378</v>
      </c>
      <c r="H13" t="s">
        <v>382</v>
      </c>
      <c r="I13" t="s">
        <v>387</v>
      </c>
      <c r="J13" t="s">
        <v>392</v>
      </c>
      <c r="K13" s="1">
        <v>41001</v>
      </c>
      <c r="L13" t="s">
        <v>399</v>
      </c>
      <c r="M13" t="s">
        <v>408</v>
      </c>
      <c r="N13" t="s">
        <v>432</v>
      </c>
      <c r="O13" s="2">
        <f t="shared" ca="1" si="0"/>
        <v>51</v>
      </c>
      <c r="P13" s="2"/>
    </row>
    <row r="14" spans="1:16" x14ac:dyDescent="0.3">
      <c r="A14" t="s">
        <v>13</v>
      </c>
      <c r="B14">
        <v>10012</v>
      </c>
      <c r="C14" s="4">
        <v>92328</v>
      </c>
      <c r="D14" t="s">
        <v>320</v>
      </c>
      <c r="E14" t="s">
        <v>349</v>
      </c>
      <c r="F14" s="1">
        <v>32328</v>
      </c>
      <c r="G14" t="s">
        <v>378</v>
      </c>
      <c r="H14" t="s">
        <v>383</v>
      </c>
      <c r="I14" t="s">
        <v>387</v>
      </c>
      <c r="J14" t="s">
        <v>392</v>
      </c>
      <c r="K14" s="1">
        <v>41953</v>
      </c>
      <c r="L14" t="s">
        <v>400</v>
      </c>
      <c r="M14" t="s">
        <v>407</v>
      </c>
      <c r="N14" t="s">
        <v>432</v>
      </c>
      <c r="O14" s="2">
        <f t="shared" ca="1" si="0"/>
        <v>36</v>
      </c>
      <c r="P14" s="2"/>
    </row>
    <row r="15" spans="1:16" x14ac:dyDescent="0.3">
      <c r="A15" t="s">
        <v>14</v>
      </c>
      <c r="B15">
        <v>10265</v>
      </c>
      <c r="C15" s="4">
        <v>58709</v>
      </c>
      <c r="D15" t="s">
        <v>315</v>
      </c>
      <c r="E15" t="s">
        <v>348</v>
      </c>
      <c r="F15" s="1">
        <v>30517</v>
      </c>
      <c r="G15" t="s">
        <v>378</v>
      </c>
      <c r="H15" t="s">
        <v>381</v>
      </c>
      <c r="I15" t="s">
        <v>387</v>
      </c>
      <c r="J15" t="s">
        <v>393</v>
      </c>
      <c r="K15" s="1">
        <v>40959</v>
      </c>
      <c r="L15" t="s">
        <v>399</v>
      </c>
      <c r="M15" t="s">
        <v>417</v>
      </c>
      <c r="N15" t="s">
        <v>430</v>
      </c>
      <c r="O15" s="2">
        <f t="shared" ca="1" si="0"/>
        <v>41</v>
      </c>
      <c r="P15" s="2"/>
    </row>
    <row r="16" spans="1:16" x14ac:dyDescent="0.3">
      <c r="A16" t="s">
        <v>15</v>
      </c>
      <c r="B16">
        <v>10066</v>
      </c>
      <c r="C16" s="4">
        <v>52505</v>
      </c>
      <c r="D16" t="s">
        <v>315</v>
      </c>
      <c r="E16" t="s">
        <v>348</v>
      </c>
      <c r="F16" s="1">
        <v>28321</v>
      </c>
      <c r="G16" t="s">
        <v>378</v>
      </c>
      <c r="H16" t="s">
        <v>383</v>
      </c>
      <c r="I16" t="s">
        <v>387</v>
      </c>
      <c r="J16" t="s">
        <v>391</v>
      </c>
      <c r="K16" s="1">
        <v>41176</v>
      </c>
      <c r="L16" t="s">
        <v>399</v>
      </c>
      <c r="M16" t="s">
        <v>406</v>
      </c>
      <c r="N16" t="s">
        <v>433</v>
      </c>
      <c r="O16" s="2">
        <f t="shared" ca="1" si="0"/>
        <v>47</v>
      </c>
      <c r="P16" s="2"/>
    </row>
    <row r="17" spans="1:16" x14ac:dyDescent="0.3">
      <c r="A17" t="s">
        <v>16</v>
      </c>
      <c r="B17">
        <v>10061</v>
      </c>
      <c r="C17" s="4">
        <v>57834</v>
      </c>
      <c r="D17" t="s">
        <v>315</v>
      </c>
      <c r="E17" t="s">
        <v>348</v>
      </c>
      <c r="F17" s="1">
        <v>29877</v>
      </c>
      <c r="G17" t="s">
        <v>378</v>
      </c>
      <c r="H17" t="s">
        <v>381</v>
      </c>
      <c r="I17" t="s">
        <v>387</v>
      </c>
      <c r="J17" t="s">
        <v>391</v>
      </c>
      <c r="K17" s="1">
        <v>40595</v>
      </c>
      <c r="L17" t="s">
        <v>399</v>
      </c>
      <c r="M17" t="s">
        <v>417</v>
      </c>
      <c r="N17" t="s">
        <v>430</v>
      </c>
      <c r="O17" s="2">
        <f t="shared" ca="1" si="0"/>
        <v>43</v>
      </c>
      <c r="P17" s="2"/>
    </row>
    <row r="18" spans="1:16" x14ac:dyDescent="0.3">
      <c r="A18" t="s">
        <v>17</v>
      </c>
      <c r="B18">
        <v>10023</v>
      </c>
      <c r="C18" s="4">
        <v>70131</v>
      </c>
      <c r="D18" t="s">
        <v>317</v>
      </c>
      <c r="E18" t="s">
        <v>348</v>
      </c>
      <c r="F18" s="1">
        <v>24214</v>
      </c>
      <c r="G18" t="s">
        <v>379</v>
      </c>
      <c r="H18" t="s">
        <v>382</v>
      </c>
      <c r="I18" t="s">
        <v>387</v>
      </c>
      <c r="J18" t="s">
        <v>391</v>
      </c>
      <c r="K18" s="1">
        <v>42572</v>
      </c>
      <c r="L18" t="s">
        <v>399</v>
      </c>
      <c r="M18" t="s">
        <v>417</v>
      </c>
      <c r="N18" t="s">
        <v>431</v>
      </c>
      <c r="O18" s="2">
        <f t="shared" ca="1" si="0"/>
        <v>58</v>
      </c>
      <c r="P18" s="2"/>
    </row>
    <row r="19" spans="1:16" x14ac:dyDescent="0.3">
      <c r="A19" t="s">
        <v>18</v>
      </c>
      <c r="B19">
        <v>10055</v>
      </c>
      <c r="C19" s="4">
        <v>59026</v>
      </c>
      <c r="D19" t="s">
        <v>315</v>
      </c>
      <c r="E19" t="s">
        <v>348</v>
      </c>
      <c r="F19" s="1">
        <v>25868</v>
      </c>
      <c r="G19" t="s">
        <v>379</v>
      </c>
      <c r="H19" t="s">
        <v>381</v>
      </c>
      <c r="I19" t="s">
        <v>388</v>
      </c>
      <c r="J19" t="s">
        <v>391</v>
      </c>
      <c r="K19" s="1">
        <v>40637</v>
      </c>
      <c r="L19" t="s">
        <v>399</v>
      </c>
      <c r="M19" t="s">
        <v>409</v>
      </c>
      <c r="N19" t="s">
        <v>430</v>
      </c>
      <c r="O19" s="2">
        <f t="shared" ca="1" si="0"/>
        <v>54</v>
      </c>
    </row>
    <row r="20" spans="1:16" x14ac:dyDescent="0.3">
      <c r="A20" t="s">
        <v>19</v>
      </c>
      <c r="B20">
        <v>10245</v>
      </c>
      <c r="C20" s="4">
        <v>110000</v>
      </c>
      <c r="D20" t="s">
        <v>321</v>
      </c>
      <c r="E20" t="s">
        <v>348</v>
      </c>
      <c r="F20" s="1">
        <v>31506</v>
      </c>
      <c r="G20" t="s">
        <v>379</v>
      </c>
      <c r="H20" t="s">
        <v>381</v>
      </c>
      <c r="I20" t="s">
        <v>387</v>
      </c>
      <c r="J20" t="s">
        <v>391</v>
      </c>
      <c r="K20" s="1">
        <v>41827</v>
      </c>
      <c r="L20" t="s">
        <v>400</v>
      </c>
      <c r="M20" t="s">
        <v>407</v>
      </c>
      <c r="N20" t="s">
        <v>430</v>
      </c>
      <c r="O20" s="2">
        <f t="shared" ca="1" si="0"/>
        <v>38</v>
      </c>
    </row>
    <row r="21" spans="1:16" x14ac:dyDescent="0.3">
      <c r="A21" t="s">
        <v>20</v>
      </c>
      <c r="B21">
        <v>10277</v>
      </c>
      <c r="C21" s="4">
        <v>53250</v>
      </c>
      <c r="D21" t="s">
        <v>315</v>
      </c>
      <c r="E21" t="s">
        <v>348</v>
      </c>
      <c r="F21" s="1">
        <v>28951</v>
      </c>
      <c r="G21" t="s">
        <v>378</v>
      </c>
      <c r="H21" t="s">
        <v>381</v>
      </c>
      <c r="I21" t="s">
        <v>387</v>
      </c>
      <c r="J21" t="s">
        <v>394</v>
      </c>
      <c r="K21" s="1">
        <v>41463</v>
      </c>
      <c r="L21" t="s">
        <v>399</v>
      </c>
      <c r="M21" t="s">
        <v>410</v>
      </c>
      <c r="N21" t="s">
        <v>428</v>
      </c>
      <c r="O21" s="2">
        <f t="shared" ca="1" si="0"/>
        <v>45</v>
      </c>
    </row>
    <row r="22" spans="1:16" x14ac:dyDescent="0.3">
      <c r="A22" t="s">
        <v>21</v>
      </c>
      <c r="B22">
        <v>10046</v>
      </c>
      <c r="C22" s="4">
        <v>51044</v>
      </c>
      <c r="D22" t="s">
        <v>315</v>
      </c>
      <c r="E22" t="s">
        <v>348</v>
      </c>
      <c r="F22" s="1">
        <v>25924</v>
      </c>
      <c r="G22" t="s">
        <v>378</v>
      </c>
      <c r="H22" t="s">
        <v>381</v>
      </c>
      <c r="I22" t="s">
        <v>387</v>
      </c>
      <c r="J22" t="s">
        <v>391</v>
      </c>
      <c r="K22" s="1">
        <v>41001</v>
      </c>
      <c r="L22" t="s">
        <v>399</v>
      </c>
      <c r="M22" t="s">
        <v>411</v>
      </c>
      <c r="N22" t="s">
        <v>430</v>
      </c>
      <c r="O22" s="2">
        <f t="shared" ca="1" si="0"/>
        <v>54</v>
      </c>
    </row>
    <row r="23" spans="1:16" x14ac:dyDescent="0.3">
      <c r="A23" t="s">
        <v>22</v>
      </c>
      <c r="B23">
        <v>10226</v>
      </c>
      <c r="C23" s="4">
        <v>64919</v>
      </c>
      <c r="D23" t="s">
        <v>315</v>
      </c>
      <c r="E23" t="s">
        <v>348</v>
      </c>
      <c r="F23" s="1">
        <v>21546</v>
      </c>
      <c r="G23" t="s">
        <v>379</v>
      </c>
      <c r="H23" t="s">
        <v>383</v>
      </c>
      <c r="I23" t="s">
        <v>387</v>
      </c>
      <c r="J23" t="s">
        <v>394</v>
      </c>
      <c r="K23" s="1">
        <v>41505</v>
      </c>
      <c r="L23" t="s">
        <v>399</v>
      </c>
      <c r="M23" t="s">
        <v>413</v>
      </c>
      <c r="N23" t="s">
        <v>429</v>
      </c>
      <c r="O23" s="2">
        <f t="shared" ca="1" si="0"/>
        <v>66</v>
      </c>
    </row>
    <row r="24" spans="1:16" x14ac:dyDescent="0.3">
      <c r="A24" t="s">
        <v>23</v>
      </c>
      <c r="B24">
        <v>10003</v>
      </c>
      <c r="C24" s="4">
        <v>62910</v>
      </c>
      <c r="D24" t="s">
        <v>315</v>
      </c>
      <c r="E24" t="s">
        <v>348</v>
      </c>
      <c r="F24" s="1">
        <v>32752</v>
      </c>
      <c r="G24" t="s">
        <v>379</v>
      </c>
      <c r="H24" t="s">
        <v>382</v>
      </c>
      <c r="I24" t="s">
        <v>387</v>
      </c>
      <c r="J24" t="s">
        <v>391</v>
      </c>
      <c r="K24" s="1">
        <v>41827</v>
      </c>
      <c r="L24" t="s">
        <v>399</v>
      </c>
      <c r="M24" t="s">
        <v>414</v>
      </c>
      <c r="N24" t="s">
        <v>429</v>
      </c>
      <c r="O24" s="2">
        <f t="shared" ca="1" si="0"/>
        <v>35</v>
      </c>
    </row>
    <row r="25" spans="1:16" x14ac:dyDescent="0.3">
      <c r="A25" t="s">
        <v>24</v>
      </c>
      <c r="B25">
        <v>10294</v>
      </c>
      <c r="C25" s="4">
        <v>66441</v>
      </c>
      <c r="D25" t="s">
        <v>317</v>
      </c>
      <c r="E25" t="s">
        <v>348</v>
      </c>
      <c r="F25" s="1">
        <v>33137</v>
      </c>
      <c r="G25" t="s">
        <v>379</v>
      </c>
      <c r="H25" t="s">
        <v>381</v>
      </c>
      <c r="I25" t="s">
        <v>387</v>
      </c>
      <c r="J25" t="s">
        <v>391</v>
      </c>
      <c r="K25" s="1">
        <v>40637</v>
      </c>
      <c r="L25" t="s">
        <v>399</v>
      </c>
      <c r="M25" t="s">
        <v>406</v>
      </c>
      <c r="N25" t="s">
        <v>434</v>
      </c>
      <c r="O25" s="2">
        <f t="shared" ca="1" si="0"/>
        <v>34</v>
      </c>
    </row>
    <row r="26" spans="1:16" x14ac:dyDescent="0.3">
      <c r="A26" t="s">
        <v>25</v>
      </c>
      <c r="B26">
        <v>10267</v>
      </c>
      <c r="C26" s="4">
        <v>57815</v>
      </c>
      <c r="D26" t="s">
        <v>317</v>
      </c>
      <c r="E26" t="s">
        <v>348</v>
      </c>
      <c r="F26" s="1">
        <v>24488</v>
      </c>
      <c r="G26" t="s">
        <v>379</v>
      </c>
      <c r="H26" t="s">
        <v>381</v>
      </c>
      <c r="I26" t="s">
        <v>387</v>
      </c>
      <c r="J26" t="s">
        <v>391</v>
      </c>
      <c r="K26" s="1">
        <v>40553</v>
      </c>
      <c r="L26" t="s">
        <v>399</v>
      </c>
      <c r="M26" t="s">
        <v>409</v>
      </c>
      <c r="N26" t="s">
        <v>430</v>
      </c>
      <c r="O26" s="2">
        <f t="shared" ca="1" si="0"/>
        <v>58</v>
      </c>
    </row>
    <row r="27" spans="1:16" x14ac:dyDescent="0.3">
      <c r="A27" t="s">
        <v>26</v>
      </c>
      <c r="B27">
        <v>10199</v>
      </c>
      <c r="C27" s="4">
        <v>103613</v>
      </c>
      <c r="D27" t="s">
        <v>322</v>
      </c>
      <c r="E27" t="s">
        <v>350</v>
      </c>
      <c r="F27" s="1">
        <v>23588</v>
      </c>
      <c r="G27" t="s">
        <v>378</v>
      </c>
      <c r="H27" t="s">
        <v>381</v>
      </c>
      <c r="I27" t="s">
        <v>387</v>
      </c>
      <c r="J27" t="s">
        <v>392</v>
      </c>
      <c r="K27" s="1">
        <v>41687</v>
      </c>
      <c r="L27" t="s">
        <v>400</v>
      </c>
      <c r="M27" t="s">
        <v>407</v>
      </c>
      <c r="N27" t="s">
        <v>428</v>
      </c>
      <c r="O27" s="2">
        <f t="shared" ca="1" si="0"/>
        <v>60</v>
      </c>
    </row>
    <row r="28" spans="1:16" x14ac:dyDescent="0.3">
      <c r="A28" t="s">
        <v>27</v>
      </c>
      <c r="B28">
        <v>10081</v>
      </c>
      <c r="C28" s="4">
        <v>106367</v>
      </c>
      <c r="D28" t="s">
        <v>323</v>
      </c>
      <c r="E28" t="s">
        <v>348</v>
      </c>
      <c r="F28" s="1">
        <v>31871</v>
      </c>
      <c r="G28" t="s">
        <v>379</v>
      </c>
      <c r="H28" t="s">
        <v>382</v>
      </c>
      <c r="I28" t="s">
        <v>387</v>
      </c>
      <c r="J28" t="s">
        <v>392</v>
      </c>
      <c r="K28" s="1">
        <v>42051</v>
      </c>
      <c r="L28" t="s">
        <v>402</v>
      </c>
      <c r="M28" t="s">
        <v>418</v>
      </c>
      <c r="N28" t="s">
        <v>432</v>
      </c>
      <c r="O28" s="2">
        <f t="shared" ca="1" si="0"/>
        <v>37</v>
      </c>
    </row>
    <row r="29" spans="1:16" x14ac:dyDescent="0.3">
      <c r="A29" t="s">
        <v>28</v>
      </c>
      <c r="B29">
        <v>10175</v>
      </c>
      <c r="C29" s="4">
        <v>74312</v>
      </c>
      <c r="D29" t="s">
        <v>324</v>
      </c>
      <c r="E29" t="s">
        <v>348</v>
      </c>
      <c r="F29" s="1">
        <v>25637</v>
      </c>
      <c r="G29" t="s">
        <v>378</v>
      </c>
      <c r="H29" t="s">
        <v>381</v>
      </c>
      <c r="I29" t="s">
        <v>387</v>
      </c>
      <c r="J29" t="s">
        <v>394</v>
      </c>
      <c r="K29" s="1">
        <v>41547</v>
      </c>
      <c r="L29" t="s">
        <v>399</v>
      </c>
      <c r="M29" t="s">
        <v>419</v>
      </c>
      <c r="N29" t="s">
        <v>429</v>
      </c>
      <c r="O29" s="2">
        <f t="shared" ca="1" si="0"/>
        <v>55</v>
      </c>
    </row>
    <row r="30" spans="1:16" x14ac:dyDescent="0.3">
      <c r="A30" t="s">
        <v>29</v>
      </c>
      <c r="B30">
        <v>10177</v>
      </c>
      <c r="C30" s="4">
        <v>53492</v>
      </c>
      <c r="D30" t="s">
        <v>315</v>
      </c>
      <c r="E30" t="s">
        <v>348</v>
      </c>
      <c r="F30" s="1">
        <v>33109</v>
      </c>
      <c r="G30" t="s">
        <v>379</v>
      </c>
      <c r="H30" t="s">
        <v>382</v>
      </c>
      <c r="I30" t="s">
        <v>387</v>
      </c>
      <c r="J30" t="s">
        <v>391</v>
      </c>
      <c r="K30" s="1">
        <v>41001</v>
      </c>
      <c r="L30" t="s">
        <v>399</v>
      </c>
      <c r="M30" t="s">
        <v>416</v>
      </c>
      <c r="N30" t="s">
        <v>430</v>
      </c>
      <c r="O30" s="2">
        <f t="shared" ca="1" si="0"/>
        <v>34</v>
      </c>
    </row>
    <row r="31" spans="1:16" x14ac:dyDescent="0.3">
      <c r="A31" t="s">
        <v>30</v>
      </c>
      <c r="B31">
        <v>10238</v>
      </c>
      <c r="C31" s="4">
        <v>63000</v>
      </c>
      <c r="D31" t="s">
        <v>325</v>
      </c>
      <c r="E31" t="s">
        <v>348</v>
      </c>
      <c r="F31" s="1">
        <v>32105</v>
      </c>
      <c r="G31" t="s">
        <v>379</v>
      </c>
      <c r="H31" t="s">
        <v>382</v>
      </c>
      <c r="I31" t="s">
        <v>387</v>
      </c>
      <c r="J31" t="s">
        <v>392</v>
      </c>
      <c r="K31" s="1">
        <v>39748</v>
      </c>
      <c r="L31" t="s">
        <v>402</v>
      </c>
      <c r="M31" t="s">
        <v>418</v>
      </c>
      <c r="N31" t="s">
        <v>432</v>
      </c>
      <c r="O31" s="2">
        <f t="shared" ca="1" si="0"/>
        <v>37</v>
      </c>
    </row>
    <row r="32" spans="1:16" x14ac:dyDescent="0.3">
      <c r="A32" t="s">
        <v>31</v>
      </c>
      <c r="B32">
        <v>10184</v>
      </c>
      <c r="C32" s="4">
        <v>65288</v>
      </c>
      <c r="D32" t="s">
        <v>317</v>
      </c>
      <c r="E32" t="s">
        <v>348</v>
      </c>
      <c r="F32" s="1">
        <v>30525</v>
      </c>
      <c r="G32" t="s">
        <v>378</v>
      </c>
      <c r="H32" t="s">
        <v>381</v>
      </c>
      <c r="I32" t="s">
        <v>387</v>
      </c>
      <c r="J32" t="s">
        <v>391</v>
      </c>
      <c r="K32" s="1">
        <v>41911</v>
      </c>
      <c r="L32" t="s">
        <v>399</v>
      </c>
      <c r="M32" t="s">
        <v>410</v>
      </c>
      <c r="N32" t="s">
        <v>430</v>
      </c>
      <c r="O32" s="2">
        <f t="shared" ca="1" si="0"/>
        <v>41</v>
      </c>
    </row>
    <row r="33" spans="1:15" x14ac:dyDescent="0.3">
      <c r="A33" t="s">
        <v>32</v>
      </c>
      <c r="B33">
        <v>10203</v>
      </c>
      <c r="C33" s="4">
        <v>64375</v>
      </c>
      <c r="D33" t="s">
        <v>315</v>
      </c>
      <c r="E33" t="s">
        <v>348</v>
      </c>
      <c r="F33" s="1">
        <v>25506</v>
      </c>
      <c r="G33" t="s">
        <v>379</v>
      </c>
      <c r="H33" t="s">
        <v>385</v>
      </c>
      <c r="I33" t="s">
        <v>387</v>
      </c>
      <c r="J33" t="s">
        <v>392</v>
      </c>
      <c r="K33" s="1">
        <v>41589</v>
      </c>
      <c r="L33" t="s">
        <v>399</v>
      </c>
      <c r="M33" t="s">
        <v>408</v>
      </c>
      <c r="N33" t="s">
        <v>432</v>
      </c>
      <c r="O33" s="2">
        <f t="shared" ca="1" si="0"/>
        <v>55</v>
      </c>
    </row>
    <row r="34" spans="1:15" x14ac:dyDescent="0.3">
      <c r="A34" t="s">
        <v>33</v>
      </c>
      <c r="B34">
        <v>10188</v>
      </c>
      <c r="C34" s="4">
        <v>74326</v>
      </c>
      <c r="D34" t="s">
        <v>326</v>
      </c>
      <c r="E34" t="s">
        <v>351</v>
      </c>
      <c r="F34" s="1">
        <v>23529</v>
      </c>
      <c r="G34" t="s">
        <v>379</v>
      </c>
      <c r="H34" t="s">
        <v>382</v>
      </c>
      <c r="I34" t="s">
        <v>388</v>
      </c>
      <c r="J34" t="s">
        <v>392</v>
      </c>
      <c r="K34" s="1">
        <v>40770</v>
      </c>
      <c r="L34" t="s">
        <v>403</v>
      </c>
      <c r="M34" t="s">
        <v>420</v>
      </c>
      <c r="N34" t="s">
        <v>430</v>
      </c>
      <c r="O34" s="2">
        <f t="shared" ca="1" si="0"/>
        <v>60</v>
      </c>
    </row>
    <row r="35" spans="1:15" x14ac:dyDescent="0.3">
      <c r="A35" t="s">
        <v>34</v>
      </c>
      <c r="B35">
        <v>10107</v>
      </c>
      <c r="C35" s="4">
        <v>63763</v>
      </c>
      <c r="D35" t="s">
        <v>317</v>
      </c>
      <c r="E35" t="s">
        <v>348</v>
      </c>
      <c r="F35" s="1">
        <v>29282</v>
      </c>
      <c r="G35" t="s">
        <v>379</v>
      </c>
      <c r="H35" t="s">
        <v>381</v>
      </c>
      <c r="I35" t="s">
        <v>387</v>
      </c>
      <c r="J35" t="s">
        <v>392</v>
      </c>
      <c r="K35" s="1">
        <v>40973</v>
      </c>
      <c r="L35" t="s">
        <v>399</v>
      </c>
      <c r="M35" t="s">
        <v>411</v>
      </c>
      <c r="N35" t="s">
        <v>431</v>
      </c>
      <c r="O35" s="2">
        <f t="shared" ca="1" si="0"/>
        <v>45</v>
      </c>
    </row>
    <row r="36" spans="1:15" x14ac:dyDescent="0.3">
      <c r="A36" t="s">
        <v>35</v>
      </c>
      <c r="B36">
        <v>10181</v>
      </c>
      <c r="C36" s="4">
        <v>62162</v>
      </c>
      <c r="D36" t="s">
        <v>317</v>
      </c>
      <c r="E36" t="s">
        <v>348</v>
      </c>
      <c r="F36" s="1">
        <v>28356</v>
      </c>
      <c r="G36" t="s">
        <v>378</v>
      </c>
      <c r="H36" t="s">
        <v>382</v>
      </c>
      <c r="I36" t="s">
        <v>387</v>
      </c>
      <c r="J36" t="s">
        <v>391</v>
      </c>
      <c r="K36" s="1">
        <v>40637</v>
      </c>
      <c r="L36" t="s">
        <v>399</v>
      </c>
      <c r="M36" t="s">
        <v>413</v>
      </c>
      <c r="N36" t="s">
        <v>429</v>
      </c>
      <c r="O36" s="2">
        <f t="shared" ca="1" si="0"/>
        <v>47</v>
      </c>
    </row>
    <row r="37" spans="1:15" x14ac:dyDescent="0.3">
      <c r="A37" t="s">
        <v>36</v>
      </c>
      <c r="B37">
        <v>10150</v>
      </c>
      <c r="C37" s="4">
        <v>77692</v>
      </c>
      <c r="D37" t="s">
        <v>327</v>
      </c>
      <c r="E37" t="s">
        <v>348</v>
      </c>
      <c r="F37" s="1">
        <v>24433</v>
      </c>
      <c r="G37" t="s">
        <v>378</v>
      </c>
      <c r="H37" t="s">
        <v>381</v>
      </c>
      <c r="I37" t="s">
        <v>387</v>
      </c>
      <c r="J37" t="s">
        <v>391</v>
      </c>
      <c r="K37" s="1">
        <v>40770</v>
      </c>
      <c r="L37" t="s">
        <v>401</v>
      </c>
      <c r="M37" t="s">
        <v>421</v>
      </c>
      <c r="N37" t="s">
        <v>430</v>
      </c>
      <c r="O37" s="2">
        <f t="shared" ca="1" si="0"/>
        <v>58</v>
      </c>
    </row>
    <row r="38" spans="1:15" x14ac:dyDescent="0.3">
      <c r="A38" t="s">
        <v>37</v>
      </c>
      <c r="B38">
        <v>10001</v>
      </c>
      <c r="C38" s="4">
        <v>72640</v>
      </c>
      <c r="D38" t="s">
        <v>324</v>
      </c>
      <c r="E38" t="s">
        <v>348</v>
      </c>
      <c r="F38" s="1">
        <v>30537</v>
      </c>
      <c r="G38" t="s">
        <v>378</v>
      </c>
      <c r="H38" t="s">
        <v>381</v>
      </c>
      <c r="I38" t="s">
        <v>387</v>
      </c>
      <c r="J38" t="s">
        <v>391</v>
      </c>
      <c r="K38" s="1">
        <v>42397</v>
      </c>
      <c r="L38" t="s">
        <v>399</v>
      </c>
      <c r="M38" t="s">
        <v>419</v>
      </c>
      <c r="N38" t="s">
        <v>429</v>
      </c>
      <c r="O38" s="2">
        <f t="shared" ca="1" si="0"/>
        <v>41</v>
      </c>
    </row>
    <row r="39" spans="1:15" x14ac:dyDescent="0.3">
      <c r="A39" t="s">
        <v>38</v>
      </c>
      <c r="B39">
        <v>10085</v>
      </c>
      <c r="C39" s="4">
        <v>93396</v>
      </c>
      <c r="D39" t="s">
        <v>318</v>
      </c>
      <c r="E39" t="s">
        <v>348</v>
      </c>
      <c r="F39" s="1">
        <v>31872</v>
      </c>
      <c r="G39" t="s">
        <v>379</v>
      </c>
      <c r="H39" t="s">
        <v>381</v>
      </c>
      <c r="I39" t="s">
        <v>387</v>
      </c>
      <c r="J39" t="s">
        <v>391</v>
      </c>
      <c r="K39" s="1">
        <v>41589</v>
      </c>
      <c r="L39" t="s">
        <v>401</v>
      </c>
      <c r="M39" t="s">
        <v>412</v>
      </c>
      <c r="N39" t="s">
        <v>429</v>
      </c>
      <c r="O39" s="2">
        <f t="shared" ca="1" si="0"/>
        <v>37</v>
      </c>
    </row>
    <row r="40" spans="1:15" x14ac:dyDescent="0.3">
      <c r="A40" t="s">
        <v>39</v>
      </c>
      <c r="B40">
        <v>10115</v>
      </c>
      <c r="C40" s="4">
        <v>52846</v>
      </c>
      <c r="D40" t="s">
        <v>315</v>
      </c>
      <c r="E40" t="s">
        <v>348</v>
      </c>
      <c r="F40" s="1">
        <v>30349</v>
      </c>
      <c r="G40" t="s">
        <v>378</v>
      </c>
      <c r="H40" t="s">
        <v>381</v>
      </c>
      <c r="I40" t="s">
        <v>387</v>
      </c>
      <c r="J40" t="s">
        <v>392</v>
      </c>
      <c r="K40" s="1">
        <v>41729</v>
      </c>
      <c r="L40" t="s">
        <v>399</v>
      </c>
      <c r="M40" t="s">
        <v>417</v>
      </c>
      <c r="N40" t="s">
        <v>428</v>
      </c>
      <c r="O40" s="2">
        <f t="shared" ca="1" si="0"/>
        <v>42</v>
      </c>
    </row>
    <row r="41" spans="1:15" x14ac:dyDescent="0.3">
      <c r="A41" t="s">
        <v>40</v>
      </c>
      <c r="B41">
        <v>10082</v>
      </c>
      <c r="C41" s="4">
        <v>100031</v>
      </c>
      <c r="D41" t="s">
        <v>316</v>
      </c>
      <c r="E41" t="s">
        <v>348</v>
      </c>
      <c r="F41" s="1">
        <v>31569</v>
      </c>
      <c r="G41" t="s">
        <v>379</v>
      </c>
      <c r="H41" t="s">
        <v>381</v>
      </c>
      <c r="I41" t="s">
        <v>387</v>
      </c>
      <c r="J41" t="s">
        <v>392</v>
      </c>
      <c r="K41" s="1">
        <v>42551</v>
      </c>
      <c r="L41" t="s">
        <v>400</v>
      </c>
      <c r="M41" t="s">
        <v>407</v>
      </c>
      <c r="N41" t="s">
        <v>428</v>
      </c>
      <c r="O41" s="2">
        <f t="shared" ca="1" si="0"/>
        <v>38</v>
      </c>
    </row>
    <row r="42" spans="1:15" x14ac:dyDescent="0.3">
      <c r="A42" t="s">
        <v>41</v>
      </c>
      <c r="B42">
        <v>10040</v>
      </c>
      <c r="C42" s="4">
        <v>71860</v>
      </c>
      <c r="D42" t="s">
        <v>326</v>
      </c>
      <c r="E42" t="s">
        <v>352</v>
      </c>
      <c r="F42" s="1">
        <v>23146</v>
      </c>
      <c r="G42" t="s">
        <v>379</v>
      </c>
      <c r="H42" t="s">
        <v>381</v>
      </c>
      <c r="I42" t="s">
        <v>387</v>
      </c>
      <c r="J42" t="s">
        <v>391</v>
      </c>
      <c r="K42" s="1">
        <v>41869</v>
      </c>
      <c r="L42" t="s">
        <v>403</v>
      </c>
      <c r="M42" t="s">
        <v>420</v>
      </c>
      <c r="N42" t="s">
        <v>429</v>
      </c>
      <c r="O42" s="2">
        <f t="shared" ca="1" si="0"/>
        <v>61</v>
      </c>
    </row>
    <row r="43" spans="1:15" x14ac:dyDescent="0.3">
      <c r="A43" t="s">
        <v>42</v>
      </c>
      <c r="B43">
        <v>10067</v>
      </c>
      <c r="C43" s="4">
        <v>61656</v>
      </c>
      <c r="D43" t="s">
        <v>315</v>
      </c>
      <c r="E43" t="s">
        <v>348</v>
      </c>
      <c r="F43" s="1">
        <v>18630</v>
      </c>
      <c r="G43" t="s">
        <v>379</v>
      </c>
      <c r="H43" t="s">
        <v>381</v>
      </c>
      <c r="I43" t="s">
        <v>387</v>
      </c>
      <c r="J43" t="s">
        <v>391</v>
      </c>
      <c r="K43" s="1">
        <v>41911</v>
      </c>
      <c r="L43" t="s">
        <v>399</v>
      </c>
      <c r="M43" t="s">
        <v>406</v>
      </c>
      <c r="N43" t="s">
        <v>430</v>
      </c>
      <c r="O43" s="2">
        <f t="shared" ca="1" si="0"/>
        <v>74</v>
      </c>
    </row>
    <row r="44" spans="1:15" x14ac:dyDescent="0.3">
      <c r="A44" t="s">
        <v>43</v>
      </c>
      <c r="B44">
        <v>10108</v>
      </c>
      <c r="C44" s="4">
        <v>110929</v>
      </c>
      <c r="D44" t="s">
        <v>328</v>
      </c>
      <c r="E44" t="s">
        <v>348</v>
      </c>
      <c r="F44" s="1">
        <v>26338</v>
      </c>
      <c r="G44" t="s">
        <v>378</v>
      </c>
      <c r="H44" t="s">
        <v>382</v>
      </c>
      <c r="I44" t="s">
        <v>387</v>
      </c>
      <c r="J44" t="s">
        <v>391</v>
      </c>
      <c r="K44" s="1">
        <v>42619</v>
      </c>
      <c r="L44" t="s">
        <v>400</v>
      </c>
      <c r="M44" t="s">
        <v>421</v>
      </c>
      <c r="N44" t="s">
        <v>429</v>
      </c>
      <c r="O44" s="2">
        <f t="shared" ca="1" si="0"/>
        <v>53</v>
      </c>
    </row>
    <row r="45" spans="1:15" x14ac:dyDescent="0.3">
      <c r="A45" t="s">
        <v>44</v>
      </c>
      <c r="B45">
        <v>10210</v>
      </c>
      <c r="C45" s="4">
        <v>54237</v>
      </c>
      <c r="D45" t="s">
        <v>315</v>
      </c>
      <c r="E45" t="s">
        <v>348</v>
      </c>
      <c r="F45" s="1">
        <v>28898</v>
      </c>
      <c r="G45" t="s">
        <v>379</v>
      </c>
      <c r="H45" t="s">
        <v>381</v>
      </c>
      <c r="I45" t="s">
        <v>387</v>
      </c>
      <c r="J45" t="s">
        <v>391</v>
      </c>
      <c r="K45" s="1">
        <v>41771</v>
      </c>
      <c r="L45" t="s">
        <v>399</v>
      </c>
      <c r="M45" t="s">
        <v>409</v>
      </c>
      <c r="N45" t="s">
        <v>429</v>
      </c>
      <c r="O45" s="2">
        <f t="shared" ca="1" si="0"/>
        <v>46</v>
      </c>
    </row>
    <row r="46" spans="1:15" x14ac:dyDescent="0.3">
      <c r="A46" t="s">
        <v>45</v>
      </c>
      <c r="B46">
        <v>10154</v>
      </c>
      <c r="C46" s="4">
        <v>60380</v>
      </c>
      <c r="D46" t="s">
        <v>315</v>
      </c>
      <c r="E46" t="s">
        <v>348</v>
      </c>
      <c r="F46" s="1">
        <v>30552</v>
      </c>
      <c r="G46" t="s">
        <v>378</v>
      </c>
      <c r="H46" t="s">
        <v>381</v>
      </c>
      <c r="I46" t="s">
        <v>387</v>
      </c>
      <c r="J46" t="s">
        <v>391</v>
      </c>
      <c r="K46" s="1">
        <v>41463</v>
      </c>
      <c r="L46" t="s">
        <v>399</v>
      </c>
      <c r="M46" t="s">
        <v>410</v>
      </c>
      <c r="N46" t="s">
        <v>428</v>
      </c>
      <c r="O46" s="2">
        <f t="shared" ca="1" si="0"/>
        <v>41</v>
      </c>
    </row>
    <row r="47" spans="1:15" x14ac:dyDescent="0.3">
      <c r="A47" t="s">
        <v>46</v>
      </c>
      <c r="B47">
        <v>10200</v>
      </c>
      <c r="C47" s="4">
        <v>66808</v>
      </c>
      <c r="D47" t="s">
        <v>326</v>
      </c>
      <c r="E47" t="s">
        <v>349</v>
      </c>
      <c r="F47" s="1">
        <v>25730</v>
      </c>
      <c r="G47" t="s">
        <v>378</v>
      </c>
      <c r="H47" t="s">
        <v>381</v>
      </c>
      <c r="I47" t="s">
        <v>388</v>
      </c>
      <c r="J47" t="s">
        <v>392</v>
      </c>
      <c r="K47" s="1">
        <v>41043</v>
      </c>
      <c r="L47" t="s">
        <v>403</v>
      </c>
      <c r="M47" t="s">
        <v>422</v>
      </c>
      <c r="N47" t="s">
        <v>431</v>
      </c>
      <c r="O47" s="2">
        <f t="shared" ca="1" si="0"/>
        <v>54</v>
      </c>
    </row>
    <row r="48" spans="1:15" x14ac:dyDescent="0.3">
      <c r="A48" t="s">
        <v>47</v>
      </c>
      <c r="B48">
        <v>10240</v>
      </c>
      <c r="C48" s="4">
        <v>64786</v>
      </c>
      <c r="D48" t="s">
        <v>315</v>
      </c>
      <c r="E48" t="s">
        <v>348</v>
      </c>
      <c r="F48" s="1">
        <v>30555</v>
      </c>
      <c r="G48" t="s">
        <v>379</v>
      </c>
      <c r="H48" t="s">
        <v>381</v>
      </c>
      <c r="I48" t="s">
        <v>387</v>
      </c>
      <c r="J48" t="s">
        <v>391</v>
      </c>
      <c r="K48" s="1">
        <v>40721</v>
      </c>
      <c r="L48" t="s">
        <v>399</v>
      </c>
      <c r="M48" t="s">
        <v>411</v>
      </c>
      <c r="N48" t="s">
        <v>429</v>
      </c>
      <c r="O48" s="2">
        <f t="shared" ca="1" si="0"/>
        <v>41</v>
      </c>
    </row>
    <row r="49" spans="1:15" x14ac:dyDescent="0.3">
      <c r="A49" t="s">
        <v>48</v>
      </c>
      <c r="B49">
        <v>10168</v>
      </c>
      <c r="C49" s="4">
        <v>64816</v>
      </c>
      <c r="D49" t="s">
        <v>315</v>
      </c>
      <c r="E49" t="s">
        <v>348</v>
      </c>
      <c r="F49" s="1">
        <v>32294</v>
      </c>
      <c r="G49" t="s">
        <v>379</v>
      </c>
      <c r="H49" t="s">
        <v>381</v>
      </c>
      <c r="I49" t="s">
        <v>389</v>
      </c>
      <c r="J49" t="s">
        <v>392</v>
      </c>
      <c r="K49" s="1">
        <v>40819</v>
      </c>
      <c r="L49" t="s">
        <v>399</v>
      </c>
      <c r="M49" t="s">
        <v>413</v>
      </c>
      <c r="N49" t="s">
        <v>429</v>
      </c>
      <c r="O49" s="2">
        <f t="shared" ca="1" si="0"/>
        <v>36</v>
      </c>
    </row>
    <row r="50" spans="1:15" x14ac:dyDescent="0.3">
      <c r="A50" t="s">
        <v>49</v>
      </c>
      <c r="B50">
        <v>10220</v>
      </c>
      <c r="C50" s="4">
        <v>68678</v>
      </c>
      <c r="D50" t="s">
        <v>319</v>
      </c>
      <c r="E50" t="s">
        <v>348</v>
      </c>
      <c r="F50" s="1">
        <v>31295</v>
      </c>
      <c r="G50" t="s">
        <v>378</v>
      </c>
      <c r="H50" t="s">
        <v>381</v>
      </c>
      <c r="I50" t="s">
        <v>387</v>
      </c>
      <c r="J50" t="s">
        <v>391</v>
      </c>
      <c r="K50" s="1">
        <v>41157</v>
      </c>
      <c r="L50" t="s">
        <v>400</v>
      </c>
      <c r="M50" t="s">
        <v>423</v>
      </c>
      <c r="N50" t="s">
        <v>429</v>
      </c>
      <c r="O50" s="2">
        <f t="shared" ca="1" si="0"/>
        <v>39</v>
      </c>
    </row>
    <row r="51" spans="1:15" x14ac:dyDescent="0.3">
      <c r="A51" t="s">
        <v>50</v>
      </c>
      <c r="B51">
        <v>10275</v>
      </c>
      <c r="C51" s="4">
        <v>64066</v>
      </c>
      <c r="D51" t="s">
        <v>317</v>
      </c>
      <c r="E51" t="s">
        <v>348</v>
      </c>
      <c r="F51" s="1">
        <v>29829</v>
      </c>
      <c r="G51" t="s">
        <v>379</v>
      </c>
      <c r="H51" t="s">
        <v>382</v>
      </c>
      <c r="I51" t="s">
        <v>387</v>
      </c>
      <c r="J51" t="s">
        <v>391</v>
      </c>
      <c r="K51" s="1">
        <v>40679</v>
      </c>
      <c r="L51" t="s">
        <v>399</v>
      </c>
      <c r="M51" t="s">
        <v>414</v>
      </c>
      <c r="N51" t="s">
        <v>430</v>
      </c>
      <c r="O51" s="2">
        <f t="shared" ca="1" si="0"/>
        <v>43</v>
      </c>
    </row>
    <row r="52" spans="1:15" x14ac:dyDescent="0.3">
      <c r="A52" t="s">
        <v>51</v>
      </c>
      <c r="B52">
        <v>10269</v>
      </c>
      <c r="C52" s="4">
        <v>59369</v>
      </c>
      <c r="D52" t="s">
        <v>317</v>
      </c>
      <c r="E52" t="s">
        <v>348</v>
      </c>
      <c r="F52" s="1">
        <v>28819</v>
      </c>
      <c r="G52" t="s">
        <v>378</v>
      </c>
      <c r="H52" t="s">
        <v>382</v>
      </c>
      <c r="I52" t="s">
        <v>387</v>
      </c>
      <c r="J52" t="s">
        <v>391</v>
      </c>
      <c r="K52" s="1">
        <v>40420</v>
      </c>
      <c r="L52" t="s">
        <v>399</v>
      </c>
      <c r="M52" t="s">
        <v>416</v>
      </c>
      <c r="N52" t="s">
        <v>429</v>
      </c>
      <c r="O52" s="2">
        <f t="shared" ca="1" si="0"/>
        <v>46</v>
      </c>
    </row>
    <row r="53" spans="1:15" x14ac:dyDescent="0.3">
      <c r="A53" t="s">
        <v>52</v>
      </c>
      <c r="B53">
        <v>10029</v>
      </c>
      <c r="C53" s="4">
        <v>50373</v>
      </c>
      <c r="D53" t="s">
        <v>315</v>
      </c>
      <c r="E53" t="s">
        <v>348</v>
      </c>
      <c r="F53" s="1">
        <v>29459</v>
      </c>
      <c r="G53" t="s">
        <v>378</v>
      </c>
      <c r="H53" t="s">
        <v>382</v>
      </c>
      <c r="I53" t="s">
        <v>387</v>
      </c>
      <c r="J53" t="s">
        <v>391</v>
      </c>
      <c r="K53" s="1">
        <v>42557</v>
      </c>
      <c r="L53" t="s">
        <v>399</v>
      </c>
      <c r="M53" t="s">
        <v>414</v>
      </c>
      <c r="N53" t="s">
        <v>431</v>
      </c>
      <c r="O53" s="2">
        <f t="shared" ca="1" si="0"/>
        <v>44</v>
      </c>
    </row>
    <row r="54" spans="1:15" x14ac:dyDescent="0.3">
      <c r="A54" t="s">
        <v>53</v>
      </c>
      <c r="B54">
        <v>10261</v>
      </c>
      <c r="C54" s="4">
        <v>63108</v>
      </c>
      <c r="D54" t="s">
        <v>315</v>
      </c>
      <c r="E54" t="s">
        <v>348</v>
      </c>
      <c r="F54" s="1">
        <v>28376</v>
      </c>
      <c r="G54" t="s">
        <v>378</v>
      </c>
      <c r="H54" t="s">
        <v>381</v>
      </c>
      <c r="I54" t="s">
        <v>387</v>
      </c>
      <c r="J54" t="s">
        <v>391</v>
      </c>
      <c r="K54" s="1">
        <v>41463</v>
      </c>
      <c r="L54" t="s">
        <v>399</v>
      </c>
      <c r="M54" t="s">
        <v>416</v>
      </c>
      <c r="N54" t="s">
        <v>431</v>
      </c>
      <c r="O54" s="2">
        <f t="shared" ca="1" si="0"/>
        <v>47</v>
      </c>
    </row>
    <row r="55" spans="1:15" x14ac:dyDescent="0.3">
      <c r="A55" t="s">
        <v>54</v>
      </c>
      <c r="B55">
        <v>10292</v>
      </c>
      <c r="C55" s="4">
        <v>59144</v>
      </c>
      <c r="D55" t="s">
        <v>315</v>
      </c>
      <c r="E55" t="s">
        <v>348</v>
      </c>
      <c r="F55" s="1">
        <v>29079</v>
      </c>
      <c r="G55" t="s">
        <v>378</v>
      </c>
      <c r="H55" t="s">
        <v>381</v>
      </c>
      <c r="I55" t="s">
        <v>387</v>
      </c>
      <c r="J55" t="s">
        <v>392</v>
      </c>
      <c r="K55" s="1">
        <v>40735</v>
      </c>
      <c r="L55" t="s">
        <v>399</v>
      </c>
      <c r="M55" t="s">
        <v>408</v>
      </c>
      <c r="N55" t="s">
        <v>428</v>
      </c>
      <c r="O55" s="2">
        <f t="shared" ca="1" si="0"/>
        <v>45</v>
      </c>
    </row>
    <row r="56" spans="1:15" x14ac:dyDescent="0.3">
      <c r="A56" t="s">
        <v>55</v>
      </c>
      <c r="B56">
        <v>10282</v>
      </c>
      <c r="C56" s="4">
        <v>68051</v>
      </c>
      <c r="D56" t="s">
        <v>324</v>
      </c>
      <c r="E56" t="s">
        <v>348</v>
      </c>
      <c r="F56" s="1">
        <v>27745</v>
      </c>
      <c r="G56" t="s">
        <v>378</v>
      </c>
      <c r="H56" t="s">
        <v>383</v>
      </c>
      <c r="I56" t="s">
        <v>387</v>
      </c>
      <c r="J56" t="s">
        <v>391</v>
      </c>
      <c r="K56" s="1">
        <v>40379</v>
      </c>
      <c r="L56" t="s">
        <v>399</v>
      </c>
      <c r="M56" t="s">
        <v>419</v>
      </c>
      <c r="N56" t="s">
        <v>434</v>
      </c>
      <c r="O56" s="2">
        <f t="shared" ca="1" si="0"/>
        <v>49</v>
      </c>
    </row>
    <row r="57" spans="1:15" x14ac:dyDescent="0.3">
      <c r="A57" t="s">
        <v>56</v>
      </c>
      <c r="B57">
        <v>10019</v>
      </c>
      <c r="C57" s="4">
        <v>170500</v>
      </c>
      <c r="D57" t="s">
        <v>329</v>
      </c>
      <c r="E57" t="s">
        <v>348</v>
      </c>
      <c r="F57" s="1">
        <v>30394</v>
      </c>
      <c r="G57" t="s">
        <v>378</v>
      </c>
      <c r="H57" t="s">
        <v>381</v>
      </c>
      <c r="I57" t="s">
        <v>387</v>
      </c>
      <c r="J57" t="s">
        <v>392</v>
      </c>
      <c r="K57" s="1">
        <v>39818</v>
      </c>
      <c r="L57" t="s">
        <v>399</v>
      </c>
      <c r="M57" t="s">
        <v>419</v>
      </c>
      <c r="N57" t="s">
        <v>429</v>
      </c>
      <c r="O57" s="2">
        <f t="shared" ca="1" si="0"/>
        <v>42</v>
      </c>
    </row>
    <row r="58" spans="1:15" x14ac:dyDescent="0.3">
      <c r="A58" t="s">
        <v>57</v>
      </c>
      <c r="B58">
        <v>10094</v>
      </c>
      <c r="C58" s="4">
        <v>63381</v>
      </c>
      <c r="D58" t="s">
        <v>315</v>
      </c>
      <c r="E58" t="s">
        <v>348</v>
      </c>
      <c r="F58" s="1">
        <v>28215</v>
      </c>
      <c r="G58" t="s">
        <v>379</v>
      </c>
      <c r="H58" t="s">
        <v>382</v>
      </c>
      <c r="I58" t="s">
        <v>387</v>
      </c>
      <c r="J58" t="s">
        <v>391</v>
      </c>
      <c r="K58" s="1">
        <v>42009</v>
      </c>
      <c r="L58" t="s">
        <v>399</v>
      </c>
      <c r="M58" t="s">
        <v>417</v>
      </c>
      <c r="N58" t="s">
        <v>429</v>
      </c>
      <c r="O58" s="2">
        <f t="shared" ca="1" si="0"/>
        <v>47</v>
      </c>
    </row>
    <row r="59" spans="1:15" x14ac:dyDescent="0.3">
      <c r="A59" t="s">
        <v>58</v>
      </c>
      <c r="B59">
        <v>10193</v>
      </c>
      <c r="C59" s="4">
        <v>83552</v>
      </c>
      <c r="D59" t="s">
        <v>320</v>
      </c>
      <c r="E59" t="s">
        <v>348</v>
      </c>
      <c r="F59" s="1">
        <v>31650</v>
      </c>
      <c r="G59" t="s">
        <v>378</v>
      </c>
      <c r="H59" t="s">
        <v>382</v>
      </c>
      <c r="I59" t="s">
        <v>387</v>
      </c>
      <c r="J59" t="s">
        <v>391</v>
      </c>
      <c r="K59" s="1">
        <v>42093</v>
      </c>
      <c r="L59" t="s">
        <v>400</v>
      </c>
      <c r="M59" t="s">
        <v>407</v>
      </c>
      <c r="N59" t="s">
        <v>429</v>
      </c>
      <c r="O59" s="2">
        <f t="shared" ca="1" si="0"/>
        <v>38</v>
      </c>
    </row>
    <row r="60" spans="1:15" x14ac:dyDescent="0.3">
      <c r="A60" t="s">
        <v>59</v>
      </c>
      <c r="B60">
        <v>10132</v>
      </c>
      <c r="C60" s="4">
        <v>56149</v>
      </c>
      <c r="D60" t="s">
        <v>315</v>
      </c>
      <c r="E60" t="s">
        <v>348</v>
      </c>
      <c r="F60" s="1">
        <v>31877</v>
      </c>
      <c r="G60" t="s">
        <v>379</v>
      </c>
      <c r="H60" t="s">
        <v>381</v>
      </c>
      <c r="I60" t="s">
        <v>387</v>
      </c>
      <c r="J60" t="s">
        <v>391</v>
      </c>
      <c r="K60" s="1">
        <v>42557</v>
      </c>
      <c r="L60" t="s">
        <v>399</v>
      </c>
      <c r="M60" t="s">
        <v>406</v>
      </c>
      <c r="N60" t="s">
        <v>428</v>
      </c>
      <c r="O60" s="2">
        <f t="shared" ca="1" si="0"/>
        <v>37</v>
      </c>
    </row>
    <row r="61" spans="1:15" x14ac:dyDescent="0.3">
      <c r="A61" t="s">
        <v>60</v>
      </c>
      <c r="B61">
        <v>10083</v>
      </c>
      <c r="C61" s="4">
        <v>92329</v>
      </c>
      <c r="D61" t="s">
        <v>330</v>
      </c>
      <c r="E61" t="s">
        <v>350</v>
      </c>
      <c r="F61" s="1">
        <v>23994</v>
      </c>
      <c r="G61" t="s">
        <v>378</v>
      </c>
      <c r="H61" t="s">
        <v>381</v>
      </c>
      <c r="I61" t="s">
        <v>387</v>
      </c>
      <c r="J61" t="s">
        <v>391</v>
      </c>
      <c r="K61" s="1">
        <v>41953</v>
      </c>
      <c r="L61" t="s">
        <v>400</v>
      </c>
      <c r="M61" t="s">
        <v>415</v>
      </c>
      <c r="N61" t="s">
        <v>431</v>
      </c>
      <c r="O61" s="2">
        <f t="shared" ca="1" si="0"/>
        <v>59</v>
      </c>
    </row>
    <row r="62" spans="1:15" x14ac:dyDescent="0.3">
      <c r="A62" t="s">
        <v>61</v>
      </c>
      <c r="B62">
        <v>10099</v>
      </c>
      <c r="C62" s="4">
        <v>65729</v>
      </c>
      <c r="D62" t="s">
        <v>331</v>
      </c>
      <c r="E62" t="s">
        <v>352</v>
      </c>
      <c r="F62" s="1">
        <v>32982</v>
      </c>
      <c r="G62" t="s">
        <v>379</v>
      </c>
      <c r="H62" t="s">
        <v>381</v>
      </c>
      <c r="I62" t="s">
        <v>387</v>
      </c>
      <c r="J62" t="s">
        <v>391</v>
      </c>
      <c r="K62" s="1">
        <v>41764</v>
      </c>
      <c r="L62" t="s">
        <v>403</v>
      </c>
      <c r="M62" t="s">
        <v>424</v>
      </c>
      <c r="N62" t="s">
        <v>429</v>
      </c>
      <c r="O62" s="2">
        <f t="shared" ca="1" si="0"/>
        <v>34</v>
      </c>
    </row>
    <row r="63" spans="1:15" x14ac:dyDescent="0.3">
      <c r="A63" t="s">
        <v>62</v>
      </c>
      <c r="B63">
        <v>10212</v>
      </c>
      <c r="C63" s="4">
        <v>85028</v>
      </c>
      <c r="D63" t="s">
        <v>330</v>
      </c>
      <c r="E63" t="s">
        <v>350</v>
      </c>
      <c r="F63" s="1">
        <v>19011</v>
      </c>
      <c r="G63" t="s">
        <v>379</v>
      </c>
      <c r="H63" t="s">
        <v>382</v>
      </c>
      <c r="I63" t="s">
        <v>387</v>
      </c>
      <c r="J63" t="s">
        <v>391</v>
      </c>
      <c r="K63" s="1">
        <v>41953</v>
      </c>
      <c r="L63" t="s">
        <v>400</v>
      </c>
      <c r="M63" t="s">
        <v>415</v>
      </c>
      <c r="N63" t="s">
        <v>428</v>
      </c>
      <c r="O63" s="2">
        <f t="shared" ca="1" si="0"/>
        <v>73</v>
      </c>
    </row>
    <row r="64" spans="1:15" x14ac:dyDescent="0.3">
      <c r="A64" t="s">
        <v>63</v>
      </c>
      <c r="B64">
        <v>10056</v>
      </c>
      <c r="C64" s="4">
        <v>57583</v>
      </c>
      <c r="D64" t="s">
        <v>315</v>
      </c>
      <c r="E64" t="s">
        <v>348</v>
      </c>
      <c r="F64" s="1">
        <v>28799</v>
      </c>
      <c r="G64" t="s">
        <v>379</v>
      </c>
      <c r="H64" t="s">
        <v>382</v>
      </c>
      <c r="I64" t="s">
        <v>387</v>
      </c>
      <c r="J64" t="s">
        <v>391</v>
      </c>
      <c r="K64" s="1">
        <v>41092</v>
      </c>
      <c r="L64" t="s">
        <v>399</v>
      </c>
      <c r="M64" t="s">
        <v>409</v>
      </c>
      <c r="N64" t="s">
        <v>429</v>
      </c>
      <c r="O64" s="2">
        <f t="shared" ca="1" si="0"/>
        <v>46</v>
      </c>
    </row>
    <row r="65" spans="1:15" x14ac:dyDescent="0.3">
      <c r="A65" t="s">
        <v>64</v>
      </c>
      <c r="B65">
        <v>10143</v>
      </c>
      <c r="C65" s="4">
        <v>56294</v>
      </c>
      <c r="D65" t="s">
        <v>317</v>
      </c>
      <c r="E65" t="s">
        <v>348</v>
      </c>
      <c r="F65" s="1">
        <v>29112</v>
      </c>
      <c r="G65" t="s">
        <v>378</v>
      </c>
      <c r="H65" t="s">
        <v>381</v>
      </c>
      <c r="I65" t="s">
        <v>388</v>
      </c>
      <c r="J65" t="s">
        <v>393</v>
      </c>
      <c r="K65" s="1">
        <v>40854</v>
      </c>
      <c r="L65" t="s">
        <v>399</v>
      </c>
      <c r="M65" t="s">
        <v>408</v>
      </c>
      <c r="N65" t="s">
        <v>428</v>
      </c>
      <c r="O65" s="2">
        <f t="shared" ca="1" si="0"/>
        <v>45</v>
      </c>
    </row>
    <row r="66" spans="1:15" x14ac:dyDescent="0.3">
      <c r="A66" t="s">
        <v>65</v>
      </c>
      <c r="B66">
        <v>10311</v>
      </c>
      <c r="C66" s="4">
        <v>56991</v>
      </c>
      <c r="D66" t="s">
        <v>315</v>
      </c>
      <c r="E66" t="s">
        <v>348</v>
      </c>
      <c r="F66" s="1">
        <v>32248</v>
      </c>
      <c r="G66" t="s">
        <v>378</v>
      </c>
      <c r="H66" t="s">
        <v>382</v>
      </c>
      <c r="I66" t="s">
        <v>387</v>
      </c>
      <c r="J66" t="s">
        <v>391</v>
      </c>
      <c r="K66" s="1">
        <v>43290</v>
      </c>
      <c r="L66" t="s">
        <v>399</v>
      </c>
      <c r="M66" t="s">
        <v>414</v>
      </c>
      <c r="N66" t="s">
        <v>429</v>
      </c>
      <c r="O66" s="2">
        <f t="shared" ca="1" si="0"/>
        <v>36</v>
      </c>
    </row>
    <row r="67" spans="1:15" x14ac:dyDescent="0.3">
      <c r="A67" t="s">
        <v>66</v>
      </c>
      <c r="B67">
        <v>10070</v>
      </c>
      <c r="C67" s="4">
        <v>55722</v>
      </c>
      <c r="D67" t="s">
        <v>315</v>
      </c>
      <c r="E67" t="s">
        <v>348</v>
      </c>
      <c r="F67" s="1">
        <v>28429</v>
      </c>
      <c r="G67" t="s">
        <v>378</v>
      </c>
      <c r="H67" t="s">
        <v>382</v>
      </c>
      <c r="I67" t="s">
        <v>387</v>
      </c>
      <c r="J67" t="s">
        <v>391</v>
      </c>
      <c r="K67" s="1">
        <v>40679</v>
      </c>
      <c r="L67" t="s">
        <v>399</v>
      </c>
      <c r="M67" t="s">
        <v>410</v>
      </c>
      <c r="N67" t="s">
        <v>429</v>
      </c>
      <c r="O67" s="2">
        <f t="shared" ref="O67:O130" ca="1" si="1">INT(YEARFRAC(F67,TODAY(),1))</f>
        <v>47</v>
      </c>
    </row>
    <row r="68" spans="1:15" x14ac:dyDescent="0.3">
      <c r="A68" t="s">
        <v>67</v>
      </c>
      <c r="B68">
        <v>10155</v>
      </c>
      <c r="C68" s="4">
        <v>101199</v>
      </c>
      <c r="D68" t="s">
        <v>318</v>
      </c>
      <c r="E68" t="s">
        <v>348</v>
      </c>
      <c r="F68" s="1">
        <v>29041</v>
      </c>
      <c r="G68" t="s">
        <v>379</v>
      </c>
      <c r="H68" t="s">
        <v>381</v>
      </c>
      <c r="I68" t="s">
        <v>387</v>
      </c>
      <c r="J68" t="s">
        <v>392</v>
      </c>
      <c r="K68" s="1">
        <v>40917</v>
      </c>
      <c r="L68" t="s">
        <v>401</v>
      </c>
      <c r="M68" t="s">
        <v>412</v>
      </c>
      <c r="N68" t="s">
        <v>434</v>
      </c>
      <c r="O68" s="2">
        <f t="shared" ca="1" si="1"/>
        <v>45</v>
      </c>
    </row>
    <row r="69" spans="1:15" x14ac:dyDescent="0.3">
      <c r="A69" t="s">
        <v>68</v>
      </c>
      <c r="B69">
        <v>10306</v>
      </c>
      <c r="C69" s="4">
        <v>61568</v>
      </c>
      <c r="D69" t="s">
        <v>326</v>
      </c>
      <c r="E69" t="s">
        <v>353</v>
      </c>
      <c r="F69" s="1">
        <v>27700</v>
      </c>
      <c r="G69" t="s">
        <v>378</v>
      </c>
      <c r="H69" t="s">
        <v>381</v>
      </c>
      <c r="I69" t="s">
        <v>387</v>
      </c>
      <c r="J69" t="s">
        <v>393</v>
      </c>
      <c r="K69" s="1">
        <v>41911</v>
      </c>
      <c r="L69" t="s">
        <v>403</v>
      </c>
      <c r="M69" t="s">
        <v>420</v>
      </c>
      <c r="N69" t="s">
        <v>429</v>
      </c>
      <c r="O69" s="2">
        <f t="shared" ca="1" si="1"/>
        <v>49</v>
      </c>
    </row>
    <row r="70" spans="1:15" x14ac:dyDescent="0.3">
      <c r="A70" t="s">
        <v>69</v>
      </c>
      <c r="B70">
        <v>10100</v>
      </c>
      <c r="C70" s="4">
        <v>58275</v>
      </c>
      <c r="D70" t="s">
        <v>317</v>
      </c>
      <c r="E70" t="s">
        <v>348</v>
      </c>
      <c r="F70" s="1">
        <v>18684</v>
      </c>
      <c r="G70" t="s">
        <v>379</v>
      </c>
      <c r="H70" t="s">
        <v>385</v>
      </c>
      <c r="I70" t="s">
        <v>387</v>
      </c>
      <c r="J70" t="s">
        <v>392</v>
      </c>
      <c r="K70" s="1">
        <v>40637</v>
      </c>
      <c r="L70" t="s">
        <v>399</v>
      </c>
      <c r="M70" t="s">
        <v>417</v>
      </c>
      <c r="N70" t="s">
        <v>430</v>
      </c>
      <c r="O70" s="2">
        <f t="shared" ca="1" si="1"/>
        <v>74</v>
      </c>
    </row>
    <row r="71" spans="1:15" x14ac:dyDescent="0.3">
      <c r="A71" t="s">
        <v>70</v>
      </c>
      <c r="B71">
        <v>10310</v>
      </c>
      <c r="C71" s="4">
        <v>53189</v>
      </c>
      <c r="D71" t="s">
        <v>315</v>
      </c>
      <c r="E71" t="s">
        <v>348</v>
      </c>
      <c r="F71" s="1">
        <v>24581</v>
      </c>
      <c r="G71" t="s">
        <v>378</v>
      </c>
      <c r="H71" t="s">
        <v>382</v>
      </c>
      <c r="I71" t="s">
        <v>387</v>
      </c>
      <c r="J71" t="s">
        <v>391</v>
      </c>
      <c r="K71" s="1">
        <v>41827</v>
      </c>
      <c r="L71" t="s">
        <v>399</v>
      </c>
      <c r="M71" t="s">
        <v>411</v>
      </c>
      <c r="N71" t="s">
        <v>429</v>
      </c>
      <c r="O71" s="2">
        <f t="shared" ca="1" si="1"/>
        <v>57</v>
      </c>
    </row>
    <row r="72" spans="1:15" x14ac:dyDescent="0.3">
      <c r="A72" t="s">
        <v>71</v>
      </c>
      <c r="B72">
        <v>10197</v>
      </c>
      <c r="C72" s="4">
        <v>96820</v>
      </c>
      <c r="D72" t="s">
        <v>332</v>
      </c>
      <c r="E72" t="s">
        <v>348</v>
      </c>
      <c r="F72" s="1">
        <v>30563</v>
      </c>
      <c r="G72" t="s">
        <v>378</v>
      </c>
      <c r="H72" t="s">
        <v>381</v>
      </c>
      <c r="I72" t="s">
        <v>387</v>
      </c>
      <c r="J72" t="s">
        <v>391</v>
      </c>
      <c r="K72" s="1">
        <v>42781</v>
      </c>
      <c r="L72" t="s">
        <v>400</v>
      </c>
      <c r="M72" t="s">
        <v>425</v>
      </c>
      <c r="N72" t="s">
        <v>429</v>
      </c>
      <c r="O72" s="2">
        <f t="shared" ca="1" si="1"/>
        <v>41</v>
      </c>
    </row>
    <row r="73" spans="1:15" x14ac:dyDescent="0.3">
      <c r="A73" t="s">
        <v>72</v>
      </c>
      <c r="B73">
        <v>10276</v>
      </c>
      <c r="C73" s="4">
        <v>51259</v>
      </c>
      <c r="D73" t="s">
        <v>315</v>
      </c>
      <c r="E73" t="s">
        <v>348</v>
      </c>
      <c r="F73" s="1">
        <v>30270</v>
      </c>
      <c r="G73" t="s">
        <v>378</v>
      </c>
      <c r="H73" t="s">
        <v>381</v>
      </c>
      <c r="I73" t="s">
        <v>387</v>
      </c>
      <c r="J73" t="s">
        <v>391</v>
      </c>
      <c r="K73" s="1">
        <v>41771</v>
      </c>
      <c r="L73" t="s">
        <v>399</v>
      </c>
      <c r="M73" t="s">
        <v>413</v>
      </c>
      <c r="N73" t="s">
        <v>429</v>
      </c>
      <c r="O73" s="2">
        <f t="shared" ca="1" si="1"/>
        <v>42</v>
      </c>
    </row>
    <row r="74" spans="1:15" x14ac:dyDescent="0.3">
      <c r="A74" t="s">
        <v>73</v>
      </c>
      <c r="B74">
        <v>10304</v>
      </c>
      <c r="C74" s="4">
        <v>59231</v>
      </c>
      <c r="D74" t="s">
        <v>326</v>
      </c>
      <c r="E74" t="s">
        <v>354</v>
      </c>
      <c r="F74" s="1">
        <v>31911</v>
      </c>
      <c r="G74" t="s">
        <v>379</v>
      </c>
      <c r="H74" t="s">
        <v>381</v>
      </c>
      <c r="I74" t="s">
        <v>387</v>
      </c>
      <c r="J74" t="s">
        <v>391</v>
      </c>
      <c r="K74" s="1">
        <v>40959</v>
      </c>
      <c r="L74" t="s">
        <v>403</v>
      </c>
      <c r="M74" t="s">
        <v>420</v>
      </c>
      <c r="N74" t="s">
        <v>435</v>
      </c>
      <c r="O74" s="2">
        <f t="shared" ca="1" si="1"/>
        <v>37</v>
      </c>
    </row>
    <row r="75" spans="1:15" x14ac:dyDescent="0.3">
      <c r="A75" t="s">
        <v>74</v>
      </c>
      <c r="B75">
        <v>10284</v>
      </c>
      <c r="C75" s="4">
        <v>61584</v>
      </c>
      <c r="D75" t="s">
        <v>315</v>
      </c>
      <c r="E75" t="s">
        <v>348</v>
      </c>
      <c r="F75" s="1">
        <v>28826</v>
      </c>
      <c r="G75" t="s">
        <v>379</v>
      </c>
      <c r="H75" t="s">
        <v>382</v>
      </c>
      <c r="I75" t="s">
        <v>387</v>
      </c>
      <c r="J75" t="s">
        <v>392</v>
      </c>
      <c r="K75" s="1">
        <v>41281</v>
      </c>
      <c r="L75" t="s">
        <v>399</v>
      </c>
      <c r="M75" t="s">
        <v>414</v>
      </c>
      <c r="N75" t="s">
        <v>429</v>
      </c>
      <c r="O75" s="2">
        <f t="shared" ca="1" si="1"/>
        <v>46</v>
      </c>
    </row>
    <row r="76" spans="1:15" x14ac:dyDescent="0.3">
      <c r="A76" t="s">
        <v>75</v>
      </c>
      <c r="B76">
        <v>10207</v>
      </c>
      <c r="C76" s="4">
        <v>46335</v>
      </c>
      <c r="D76" t="s">
        <v>315</v>
      </c>
      <c r="E76" t="s">
        <v>348</v>
      </c>
      <c r="F76" s="1">
        <v>31692</v>
      </c>
      <c r="G76" t="s">
        <v>379</v>
      </c>
      <c r="H76" t="s">
        <v>381</v>
      </c>
      <c r="I76" t="s">
        <v>387</v>
      </c>
      <c r="J76" t="s">
        <v>391</v>
      </c>
      <c r="K76" s="1">
        <v>41001</v>
      </c>
      <c r="L76" t="s">
        <v>399</v>
      </c>
      <c r="M76" t="s">
        <v>416</v>
      </c>
      <c r="N76" t="s">
        <v>434</v>
      </c>
      <c r="O76" s="2">
        <f t="shared" ca="1" si="1"/>
        <v>38</v>
      </c>
    </row>
    <row r="77" spans="1:15" x14ac:dyDescent="0.3">
      <c r="A77" t="s">
        <v>76</v>
      </c>
      <c r="B77">
        <v>10133</v>
      </c>
      <c r="C77" s="4">
        <v>70621</v>
      </c>
      <c r="D77" t="s">
        <v>319</v>
      </c>
      <c r="E77" t="s">
        <v>348</v>
      </c>
      <c r="F77" s="1">
        <v>32342</v>
      </c>
      <c r="G77" t="s">
        <v>379</v>
      </c>
      <c r="H77" t="s">
        <v>382</v>
      </c>
      <c r="I77" t="s">
        <v>387</v>
      </c>
      <c r="J77" t="s">
        <v>391</v>
      </c>
      <c r="K77" s="1">
        <v>42009</v>
      </c>
      <c r="L77" t="s">
        <v>400</v>
      </c>
      <c r="M77" t="s">
        <v>415</v>
      </c>
      <c r="N77" t="s">
        <v>431</v>
      </c>
      <c r="O77" s="2">
        <f t="shared" ca="1" si="1"/>
        <v>36</v>
      </c>
    </row>
    <row r="78" spans="1:15" x14ac:dyDescent="0.3">
      <c r="A78" t="s">
        <v>77</v>
      </c>
      <c r="B78">
        <v>10028</v>
      </c>
      <c r="C78" s="4">
        <v>138888</v>
      </c>
      <c r="D78" t="s">
        <v>333</v>
      </c>
      <c r="E78" t="s">
        <v>348</v>
      </c>
      <c r="F78" s="1">
        <v>25758</v>
      </c>
      <c r="G78" t="s">
        <v>378</v>
      </c>
      <c r="H78" t="s">
        <v>381</v>
      </c>
      <c r="I78" t="s">
        <v>387</v>
      </c>
      <c r="J78" t="s">
        <v>392</v>
      </c>
      <c r="K78" s="1">
        <v>41644</v>
      </c>
      <c r="L78" t="s">
        <v>400</v>
      </c>
      <c r="M78" t="s">
        <v>421</v>
      </c>
      <c r="N78" t="s">
        <v>429</v>
      </c>
      <c r="O78" s="2">
        <f t="shared" ca="1" si="1"/>
        <v>54</v>
      </c>
    </row>
    <row r="79" spans="1:15" x14ac:dyDescent="0.3">
      <c r="A79" t="s">
        <v>78</v>
      </c>
      <c r="B79">
        <v>10006</v>
      </c>
      <c r="C79" s="4">
        <v>74241</v>
      </c>
      <c r="D79" t="s">
        <v>326</v>
      </c>
      <c r="E79" t="s">
        <v>355</v>
      </c>
      <c r="F79" s="1">
        <v>32455</v>
      </c>
      <c r="G79" t="s">
        <v>379</v>
      </c>
      <c r="H79" t="s">
        <v>381</v>
      </c>
      <c r="I79" t="s">
        <v>387</v>
      </c>
      <c r="J79" t="s">
        <v>391</v>
      </c>
      <c r="K79" s="1">
        <v>40553</v>
      </c>
      <c r="L79" t="s">
        <v>403</v>
      </c>
      <c r="M79" t="s">
        <v>422</v>
      </c>
      <c r="N79" t="s">
        <v>429</v>
      </c>
      <c r="O79" s="2">
        <f t="shared" ca="1" si="1"/>
        <v>36</v>
      </c>
    </row>
    <row r="80" spans="1:15" x14ac:dyDescent="0.3">
      <c r="A80" t="s">
        <v>79</v>
      </c>
      <c r="B80">
        <v>10105</v>
      </c>
      <c r="C80" s="4">
        <v>75188</v>
      </c>
      <c r="D80" t="s">
        <v>324</v>
      </c>
      <c r="E80" t="s">
        <v>348</v>
      </c>
      <c r="F80" s="1">
        <v>26996</v>
      </c>
      <c r="G80" t="s">
        <v>379</v>
      </c>
      <c r="H80" t="s">
        <v>381</v>
      </c>
      <c r="I80" t="s">
        <v>387</v>
      </c>
      <c r="J80" t="s">
        <v>391</v>
      </c>
      <c r="K80" s="1">
        <v>41900</v>
      </c>
      <c r="L80" t="s">
        <v>399</v>
      </c>
      <c r="M80" t="s">
        <v>419</v>
      </c>
      <c r="N80" t="s">
        <v>430</v>
      </c>
      <c r="O80" s="2">
        <f t="shared" ca="1" si="1"/>
        <v>51</v>
      </c>
    </row>
    <row r="81" spans="1:15" x14ac:dyDescent="0.3">
      <c r="A81" t="s">
        <v>80</v>
      </c>
      <c r="B81">
        <v>10211</v>
      </c>
      <c r="C81" s="4">
        <v>62514</v>
      </c>
      <c r="D81" t="s">
        <v>315</v>
      </c>
      <c r="E81" t="s">
        <v>348</v>
      </c>
      <c r="F81" s="1">
        <v>26930</v>
      </c>
      <c r="G81" t="s">
        <v>379</v>
      </c>
      <c r="H81" t="s">
        <v>382</v>
      </c>
      <c r="I81" t="s">
        <v>387</v>
      </c>
      <c r="J81" t="s">
        <v>391</v>
      </c>
      <c r="K81" s="1">
        <v>40294</v>
      </c>
      <c r="L81" t="s">
        <v>399</v>
      </c>
      <c r="M81" t="s">
        <v>413</v>
      </c>
      <c r="N81" t="s">
        <v>430</v>
      </c>
      <c r="O81" s="2">
        <f t="shared" ca="1" si="1"/>
        <v>51</v>
      </c>
    </row>
    <row r="82" spans="1:15" x14ac:dyDescent="0.3">
      <c r="A82" t="s">
        <v>81</v>
      </c>
      <c r="B82">
        <v>10064</v>
      </c>
      <c r="C82" s="4">
        <v>60070</v>
      </c>
      <c r="D82" t="s">
        <v>315</v>
      </c>
      <c r="E82" t="s">
        <v>348</v>
      </c>
      <c r="F82" s="1">
        <v>33486</v>
      </c>
      <c r="G82" t="s">
        <v>379</v>
      </c>
      <c r="H82" t="s">
        <v>382</v>
      </c>
      <c r="I82" t="s">
        <v>387</v>
      </c>
      <c r="J82" t="s">
        <v>391</v>
      </c>
      <c r="K82" s="1">
        <v>40637</v>
      </c>
      <c r="L82" t="s">
        <v>399</v>
      </c>
      <c r="M82" t="s">
        <v>408</v>
      </c>
      <c r="N82" t="s">
        <v>430</v>
      </c>
      <c r="O82" s="2">
        <f t="shared" ca="1" si="1"/>
        <v>33</v>
      </c>
    </row>
    <row r="83" spans="1:15" x14ac:dyDescent="0.3">
      <c r="A83" t="s">
        <v>82</v>
      </c>
      <c r="B83">
        <v>10247</v>
      </c>
      <c r="C83" s="4">
        <v>48888</v>
      </c>
      <c r="D83" t="s">
        <v>315</v>
      </c>
      <c r="E83" t="s">
        <v>348</v>
      </c>
      <c r="F83" s="1">
        <v>27180</v>
      </c>
      <c r="G83" t="s">
        <v>378</v>
      </c>
      <c r="H83" t="s">
        <v>381</v>
      </c>
      <c r="I83" t="s">
        <v>387</v>
      </c>
      <c r="J83" t="s">
        <v>391</v>
      </c>
      <c r="K83" s="1">
        <v>41953</v>
      </c>
      <c r="L83" t="s">
        <v>399</v>
      </c>
      <c r="M83" t="s">
        <v>417</v>
      </c>
      <c r="N83" t="s">
        <v>428</v>
      </c>
      <c r="O83" s="2">
        <f t="shared" ca="1" si="1"/>
        <v>50</v>
      </c>
    </row>
    <row r="84" spans="1:15" x14ac:dyDescent="0.3">
      <c r="A84" t="s">
        <v>83</v>
      </c>
      <c r="B84">
        <v>10235</v>
      </c>
      <c r="C84" s="4">
        <v>54285</v>
      </c>
      <c r="D84" t="s">
        <v>315</v>
      </c>
      <c r="E84" t="s">
        <v>348</v>
      </c>
      <c r="F84" s="1">
        <v>28727</v>
      </c>
      <c r="G84" t="s">
        <v>378</v>
      </c>
      <c r="H84" t="s">
        <v>382</v>
      </c>
      <c r="I84" t="s">
        <v>387</v>
      </c>
      <c r="J84" t="s">
        <v>391</v>
      </c>
      <c r="K84" s="1">
        <v>41729</v>
      </c>
      <c r="L84" t="s">
        <v>399</v>
      </c>
      <c r="M84" t="s">
        <v>417</v>
      </c>
      <c r="N84" t="s">
        <v>431</v>
      </c>
      <c r="O84" s="2">
        <f t="shared" ca="1" si="1"/>
        <v>46</v>
      </c>
    </row>
    <row r="85" spans="1:15" x14ac:dyDescent="0.3">
      <c r="A85" t="s">
        <v>84</v>
      </c>
      <c r="B85">
        <v>10299</v>
      </c>
      <c r="C85" s="4">
        <v>56847</v>
      </c>
      <c r="D85" t="s">
        <v>317</v>
      </c>
      <c r="E85" t="s">
        <v>348</v>
      </c>
      <c r="F85" s="1">
        <v>32745</v>
      </c>
      <c r="G85" t="s">
        <v>379</v>
      </c>
      <c r="H85" t="s">
        <v>385</v>
      </c>
      <c r="I85" t="s">
        <v>387</v>
      </c>
      <c r="J85" t="s">
        <v>391</v>
      </c>
      <c r="K85" s="1">
        <v>41827</v>
      </c>
      <c r="L85" t="s">
        <v>399</v>
      </c>
      <c r="M85" t="s">
        <v>406</v>
      </c>
      <c r="N85" t="s">
        <v>429</v>
      </c>
      <c r="O85" s="2">
        <f t="shared" ca="1" si="1"/>
        <v>35</v>
      </c>
    </row>
    <row r="86" spans="1:15" x14ac:dyDescent="0.3">
      <c r="A86" t="s">
        <v>85</v>
      </c>
      <c r="B86">
        <v>10280</v>
      </c>
      <c r="C86" s="4">
        <v>60340</v>
      </c>
      <c r="D86" t="s">
        <v>315</v>
      </c>
      <c r="E86" t="s">
        <v>348</v>
      </c>
      <c r="F86" s="1">
        <v>30561</v>
      </c>
      <c r="G86" t="s">
        <v>378</v>
      </c>
      <c r="H86" t="s">
        <v>381</v>
      </c>
      <c r="I86" t="s">
        <v>387</v>
      </c>
      <c r="J86" t="s">
        <v>391</v>
      </c>
      <c r="K86" s="1">
        <v>41001</v>
      </c>
      <c r="L86" t="s">
        <v>399</v>
      </c>
      <c r="M86" t="s">
        <v>406</v>
      </c>
      <c r="N86" t="s">
        <v>430</v>
      </c>
      <c r="O86" s="2">
        <f t="shared" ca="1" si="1"/>
        <v>41</v>
      </c>
    </row>
    <row r="87" spans="1:15" x14ac:dyDescent="0.3">
      <c r="A87" t="s">
        <v>86</v>
      </c>
      <c r="B87">
        <v>10296</v>
      </c>
      <c r="C87" s="4">
        <v>59124</v>
      </c>
      <c r="D87" t="s">
        <v>315</v>
      </c>
      <c r="E87" t="s">
        <v>348</v>
      </c>
      <c r="F87" s="1">
        <v>32634</v>
      </c>
      <c r="G87" t="s">
        <v>379</v>
      </c>
      <c r="H87" t="s">
        <v>381</v>
      </c>
      <c r="I87" t="s">
        <v>387</v>
      </c>
      <c r="J87" t="s">
        <v>391</v>
      </c>
      <c r="K87" s="1">
        <v>41687</v>
      </c>
      <c r="L87" t="s">
        <v>399</v>
      </c>
      <c r="M87" t="s">
        <v>409</v>
      </c>
      <c r="N87" t="s">
        <v>430</v>
      </c>
      <c r="O87" s="2">
        <f t="shared" ca="1" si="1"/>
        <v>35</v>
      </c>
    </row>
    <row r="88" spans="1:15" x14ac:dyDescent="0.3">
      <c r="A88" t="s">
        <v>87</v>
      </c>
      <c r="B88">
        <v>10290</v>
      </c>
      <c r="C88" s="4">
        <v>99280</v>
      </c>
      <c r="D88" t="s">
        <v>318</v>
      </c>
      <c r="E88" t="s">
        <v>348</v>
      </c>
      <c r="F88" s="1">
        <v>31912</v>
      </c>
      <c r="G88" t="s">
        <v>379</v>
      </c>
      <c r="H88" t="s">
        <v>382</v>
      </c>
      <c r="I88" t="s">
        <v>387</v>
      </c>
      <c r="J88" t="s">
        <v>392</v>
      </c>
      <c r="K88" s="1">
        <v>40665</v>
      </c>
      <c r="L88" t="s">
        <v>401</v>
      </c>
      <c r="M88" t="s">
        <v>412</v>
      </c>
      <c r="N88" t="s">
        <v>429</v>
      </c>
      <c r="O88" s="2">
        <f t="shared" ca="1" si="1"/>
        <v>37</v>
      </c>
    </row>
    <row r="89" spans="1:15" x14ac:dyDescent="0.3">
      <c r="A89" t="s">
        <v>88</v>
      </c>
      <c r="B89">
        <v>10263</v>
      </c>
      <c r="C89" s="4">
        <v>71776</v>
      </c>
      <c r="D89" t="s">
        <v>317</v>
      </c>
      <c r="E89" t="s">
        <v>348</v>
      </c>
      <c r="F89" s="1">
        <v>28755</v>
      </c>
      <c r="G89" t="s">
        <v>379</v>
      </c>
      <c r="H89" t="s">
        <v>382</v>
      </c>
      <c r="I89" t="s">
        <v>387</v>
      </c>
      <c r="J89" t="s">
        <v>392</v>
      </c>
      <c r="K89" s="1">
        <v>41827</v>
      </c>
      <c r="L89" t="s">
        <v>399</v>
      </c>
      <c r="M89" t="s">
        <v>409</v>
      </c>
      <c r="N89" t="s">
        <v>428</v>
      </c>
      <c r="O89" s="2">
        <f t="shared" ca="1" si="1"/>
        <v>46</v>
      </c>
    </row>
    <row r="90" spans="1:15" x14ac:dyDescent="0.3">
      <c r="A90" t="s">
        <v>89</v>
      </c>
      <c r="B90">
        <v>10136</v>
      </c>
      <c r="C90" s="4">
        <v>65902</v>
      </c>
      <c r="D90" t="s">
        <v>317</v>
      </c>
      <c r="E90" t="s">
        <v>348</v>
      </c>
      <c r="F90" s="1">
        <v>32047</v>
      </c>
      <c r="G90" t="s">
        <v>379</v>
      </c>
      <c r="H90" t="s">
        <v>381</v>
      </c>
      <c r="I90" t="s">
        <v>387</v>
      </c>
      <c r="J90" t="s">
        <v>392</v>
      </c>
      <c r="K90" s="1">
        <v>41687</v>
      </c>
      <c r="L90" t="s">
        <v>399</v>
      </c>
      <c r="M90" t="s">
        <v>410</v>
      </c>
      <c r="N90" t="s">
        <v>428</v>
      </c>
      <c r="O90" s="2">
        <f t="shared" ca="1" si="1"/>
        <v>37</v>
      </c>
    </row>
    <row r="91" spans="1:15" x14ac:dyDescent="0.3">
      <c r="A91" t="s">
        <v>90</v>
      </c>
      <c r="B91">
        <v>10189</v>
      </c>
      <c r="C91" s="4">
        <v>57748</v>
      </c>
      <c r="D91" t="s">
        <v>315</v>
      </c>
      <c r="E91" t="s">
        <v>348</v>
      </c>
      <c r="F91" s="1">
        <v>20193</v>
      </c>
      <c r="G91" t="s">
        <v>379</v>
      </c>
      <c r="H91" t="s">
        <v>382</v>
      </c>
      <c r="I91" t="s">
        <v>387</v>
      </c>
      <c r="J91" t="s">
        <v>391</v>
      </c>
      <c r="K91" s="1">
        <v>40854</v>
      </c>
      <c r="L91" t="s">
        <v>399</v>
      </c>
      <c r="M91" t="s">
        <v>410</v>
      </c>
      <c r="N91" t="s">
        <v>430</v>
      </c>
      <c r="O91" s="2">
        <f t="shared" ca="1" si="1"/>
        <v>69</v>
      </c>
    </row>
    <row r="92" spans="1:15" x14ac:dyDescent="0.3">
      <c r="A92" t="s">
        <v>91</v>
      </c>
      <c r="B92">
        <v>10308</v>
      </c>
      <c r="C92" s="4">
        <v>64057</v>
      </c>
      <c r="D92" t="s">
        <v>315</v>
      </c>
      <c r="E92" t="s">
        <v>348</v>
      </c>
      <c r="F92" s="1">
        <v>32799</v>
      </c>
      <c r="G92" t="s">
        <v>378</v>
      </c>
      <c r="H92" t="s">
        <v>382</v>
      </c>
      <c r="I92" t="s">
        <v>387</v>
      </c>
      <c r="J92" t="s">
        <v>391</v>
      </c>
      <c r="K92" s="1">
        <v>42135</v>
      </c>
      <c r="L92" t="s">
        <v>399</v>
      </c>
      <c r="M92" t="s">
        <v>411</v>
      </c>
      <c r="N92" t="s">
        <v>429</v>
      </c>
      <c r="O92" s="2">
        <f t="shared" ca="1" si="1"/>
        <v>35</v>
      </c>
    </row>
    <row r="93" spans="1:15" x14ac:dyDescent="0.3">
      <c r="A93" t="s">
        <v>92</v>
      </c>
      <c r="B93">
        <v>10309</v>
      </c>
      <c r="C93" s="4">
        <v>53366</v>
      </c>
      <c r="D93" t="s">
        <v>334</v>
      </c>
      <c r="E93" t="s">
        <v>348</v>
      </c>
      <c r="F93" s="1">
        <v>31946</v>
      </c>
      <c r="G93" t="s">
        <v>378</v>
      </c>
      <c r="H93" t="s">
        <v>381</v>
      </c>
      <c r="I93" t="s">
        <v>387</v>
      </c>
      <c r="J93" t="s">
        <v>391</v>
      </c>
      <c r="K93" s="1">
        <v>42093</v>
      </c>
      <c r="L93" t="s">
        <v>400</v>
      </c>
      <c r="M93" t="s">
        <v>415</v>
      </c>
      <c r="N93" t="s">
        <v>428</v>
      </c>
      <c r="O93" s="2">
        <f t="shared" ca="1" si="1"/>
        <v>37</v>
      </c>
    </row>
    <row r="94" spans="1:15" x14ac:dyDescent="0.3">
      <c r="A94" t="s">
        <v>93</v>
      </c>
      <c r="B94">
        <v>10049</v>
      </c>
      <c r="C94" s="4">
        <v>58530</v>
      </c>
      <c r="D94" t="s">
        <v>315</v>
      </c>
      <c r="E94" t="s">
        <v>348</v>
      </c>
      <c r="F94" s="1">
        <v>29661</v>
      </c>
      <c r="G94" t="s">
        <v>379</v>
      </c>
      <c r="H94" t="s">
        <v>382</v>
      </c>
      <c r="I94" t="s">
        <v>387</v>
      </c>
      <c r="J94" t="s">
        <v>391</v>
      </c>
      <c r="K94" s="1">
        <v>40917</v>
      </c>
      <c r="L94" t="s">
        <v>399</v>
      </c>
      <c r="M94" t="s">
        <v>414</v>
      </c>
      <c r="N94" t="s">
        <v>430</v>
      </c>
      <c r="O94" s="2">
        <f t="shared" ca="1" si="1"/>
        <v>44</v>
      </c>
    </row>
    <row r="95" spans="1:15" x14ac:dyDescent="0.3">
      <c r="A95" t="s">
        <v>94</v>
      </c>
      <c r="B95">
        <v>10093</v>
      </c>
      <c r="C95" s="4">
        <v>72609</v>
      </c>
      <c r="D95" t="s">
        <v>317</v>
      </c>
      <c r="E95" t="s">
        <v>348</v>
      </c>
      <c r="F95" s="1">
        <v>29860</v>
      </c>
      <c r="G95" t="s">
        <v>378</v>
      </c>
      <c r="H95" t="s">
        <v>381</v>
      </c>
      <c r="I95" t="s">
        <v>387</v>
      </c>
      <c r="J95" t="s">
        <v>391</v>
      </c>
      <c r="K95" s="1">
        <v>40679</v>
      </c>
      <c r="L95" t="s">
        <v>399</v>
      </c>
      <c r="M95" t="s">
        <v>411</v>
      </c>
      <c r="N95" t="s">
        <v>430</v>
      </c>
      <c r="O95" s="2">
        <f t="shared" ca="1" si="1"/>
        <v>43</v>
      </c>
    </row>
    <row r="96" spans="1:15" x14ac:dyDescent="0.3">
      <c r="A96" t="s">
        <v>95</v>
      </c>
      <c r="B96">
        <v>10163</v>
      </c>
      <c r="C96" s="4">
        <v>55965</v>
      </c>
      <c r="D96" t="s">
        <v>317</v>
      </c>
      <c r="E96" t="s">
        <v>348</v>
      </c>
      <c r="F96" s="1">
        <v>30628</v>
      </c>
      <c r="G96" t="s">
        <v>379</v>
      </c>
      <c r="H96" t="s">
        <v>382</v>
      </c>
      <c r="I96" t="s">
        <v>387</v>
      </c>
      <c r="J96" t="s">
        <v>391</v>
      </c>
      <c r="K96" s="1">
        <v>40637</v>
      </c>
      <c r="L96" t="s">
        <v>399</v>
      </c>
      <c r="M96" t="s">
        <v>413</v>
      </c>
      <c r="N96" t="s">
        <v>430</v>
      </c>
      <c r="O96" s="2">
        <f t="shared" ca="1" si="1"/>
        <v>41</v>
      </c>
    </row>
    <row r="97" spans="1:15" x14ac:dyDescent="0.3">
      <c r="A97" t="s">
        <v>96</v>
      </c>
      <c r="B97">
        <v>10305</v>
      </c>
      <c r="C97" s="4">
        <v>70187</v>
      </c>
      <c r="D97" t="s">
        <v>326</v>
      </c>
      <c r="E97" t="s">
        <v>348</v>
      </c>
      <c r="F97" s="1">
        <v>27582</v>
      </c>
      <c r="G97" t="s">
        <v>378</v>
      </c>
      <c r="H97" t="s">
        <v>382</v>
      </c>
      <c r="I97" t="s">
        <v>387</v>
      </c>
      <c r="J97" t="s">
        <v>391</v>
      </c>
      <c r="K97" s="1">
        <v>41911</v>
      </c>
      <c r="L97" t="s">
        <v>403</v>
      </c>
      <c r="M97" t="s">
        <v>422</v>
      </c>
      <c r="N97" t="s">
        <v>431</v>
      </c>
      <c r="O97" s="2">
        <f t="shared" ca="1" si="1"/>
        <v>49</v>
      </c>
    </row>
    <row r="98" spans="1:15" x14ac:dyDescent="0.3">
      <c r="A98" t="s">
        <v>97</v>
      </c>
      <c r="B98">
        <v>10015</v>
      </c>
      <c r="C98" s="4">
        <v>178000</v>
      </c>
      <c r="D98" t="s">
        <v>335</v>
      </c>
      <c r="E98" t="s">
        <v>348</v>
      </c>
      <c r="F98" s="1">
        <v>29407</v>
      </c>
      <c r="G98" t="s">
        <v>378</v>
      </c>
      <c r="H98" t="s">
        <v>381</v>
      </c>
      <c r="I98" t="s">
        <v>387</v>
      </c>
      <c r="J98" t="s">
        <v>392</v>
      </c>
      <c r="K98" s="1">
        <v>40648</v>
      </c>
      <c r="L98" t="s">
        <v>400</v>
      </c>
      <c r="M98" t="s">
        <v>421</v>
      </c>
      <c r="N98" t="s">
        <v>429</v>
      </c>
      <c r="O98" s="2">
        <f t="shared" ca="1" si="1"/>
        <v>44</v>
      </c>
    </row>
    <row r="99" spans="1:15" x14ac:dyDescent="0.3">
      <c r="A99" t="s">
        <v>98</v>
      </c>
      <c r="B99">
        <v>10080</v>
      </c>
      <c r="C99" s="4">
        <v>99351</v>
      </c>
      <c r="D99" t="s">
        <v>323</v>
      </c>
      <c r="E99" t="s">
        <v>348</v>
      </c>
      <c r="F99" s="1">
        <v>28961</v>
      </c>
      <c r="G99" t="s">
        <v>379</v>
      </c>
      <c r="H99" t="s">
        <v>382</v>
      </c>
      <c r="I99" t="s">
        <v>387</v>
      </c>
      <c r="J99" t="s">
        <v>391</v>
      </c>
      <c r="K99" s="1">
        <v>39818</v>
      </c>
      <c r="L99" t="s">
        <v>402</v>
      </c>
      <c r="M99" t="s">
        <v>426</v>
      </c>
      <c r="N99" t="s">
        <v>436</v>
      </c>
      <c r="O99" s="2">
        <f t="shared" ca="1" si="1"/>
        <v>45</v>
      </c>
    </row>
    <row r="100" spans="1:15" x14ac:dyDescent="0.3">
      <c r="A100" t="s">
        <v>99</v>
      </c>
      <c r="B100">
        <v>10258</v>
      </c>
      <c r="C100" s="4">
        <v>67251</v>
      </c>
      <c r="D100" t="s">
        <v>326</v>
      </c>
      <c r="E100" t="s">
        <v>350</v>
      </c>
      <c r="F100" s="1">
        <v>23251</v>
      </c>
      <c r="G100" t="s">
        <v>378</v>
      </c>
      <c r="H100" t="s">
        <v>381</v>
      </c>
      <c r="I100" t="s">
        <v>387</v>
      </c>
      <c r="J100" t="s">
        <v>392</v>
      </c>
      <c r="K100" s="1">
        <v>40792</v>
      </c>
      <c r="L100" t="s">
        <v>403</v>
      </c>
      <c r="M100" t="s">
        <v>422</v>
      </c>
      <c r="N100" t="s">
        <v>434</v>
      </c>
      <c r="O100" s="2">
        <f t="shared" ca="1" si="1"/>
        <v>61</v>
      </c>
    </row>
    <row r="101" spans="1:15" x14ac:dyDescent="0.3">
      <c r="A101" t="s">
        <v>100</v>
      </c>
      <c r="B101">
        <v>10273</v>
      </c>
      <c r="C101" s="4">
        <v>65707</v>
      </c>
      <c r="D101" t="s">
        <v>319</v>
      </c>
      <c r="E101" t="s">
        <v>350</v>
      </c>
      <c r="F101" s="1">
        <v>25025</v>
      </c>
      <c r="G101" t="s">
        <v>379</v>
      </c>
      <c r="H101" t="s">
        <v>381</v>
      </c>
      <c r="I101" t="s">
        <v>387</v>
      </c>
      <c r="J101" t="s">
        <v>391</v>
      </c>
      <c r="K101" s="1">
        <v>40299</v>
      </c>
      <c r="L101" t="s">
        <v>400</v>
      </c>
      <c r="M101" t="s">
        <v>423</v>
      </c>
      <c r="N101" t="s">
        <v>428</v>
      </c>
      <c r="O101" s="2">
        <f t="shared" ca="1" si="1"/>
        <v>56</v>
      </c>
    </row>
    <row r="102" spans="1:15" x14ac:dyDescent="0.3">
      <c r="A102" t="s">
        <v>101</v>
      </c>
      <c r="B102">
        <v>10111</v>
      </c>
      <c r="C102" s="4">
        <v>52249</v>
      </c>
      <c r="D102" t="s">
        <v>315</v>
      </c>
      <c r="E102" t="s">
        <v>348</v>
      </c>
      <c r="F102" s="1">
        <v>31305</v>
      </c>
      <c r="G102" t="s">
        <v>378</v>
      </c>
      <c r="H102" t="s">
        <v>381</v>
      </c>
      <c r="I102" t="s">
        <v>387</v>
      </c>
      <c r="J102" t="s">
        <v>391</v>
      </c>
      <c r="K102" s="1">
        <v>42093</v>
      </c>
      <c r="L102" t="s">
        <v>399</v>
      </c>
      <c r="M102" t="s">
        <v>416</v>
      </c>
      <c r="N102" t="s">
        <v>431</v>
      </c>
      <c r="O102" s="2">
        <f t="shared" ca="1" si="1"/>
        <v>39</v>
      </c>
    </row>
    <row r="103" spans="1:15" x14ac:dyDescent="0.3">
      <c r="A103" t="s">
        <v>102</v>
      </c>
      <c r="B103">
        <v>10257</v>
      </c>
      <c r="C103" s="4">
        <v>53171</v>
      </c>
      <c r="D103" t="s">
        <v>315</v>
      </c>
      <c r="E103" t="s">
        <v>348</v>
      </c>
      <c r="F103" s="1">
        <v>30652</v>
      </c>
      <c r="G103" t="s">
        <v>379</v>
      </c>
      <c r="H103" t="s">
        <v>381</v>
      </c>
      <c r="I103" t="s">
        <v>387</v>
      </c>
      <c r="J103" t="s">
        <v>392</v>
      </c>
      <c r="K103" s="1">
        <v>40679</v>
      </c>
      <c r="L103" t="s">
        <v>399</v>
      </c>
      <c r="M103" t="s">
        <v>417</v>
      </c>
      <c r="N103" t="s">
        <v>428</v>
      </c>
      <c r="O103" s="2">
        <f t="shared" ca="1" si="1"/>
        <v>41</v>
      </c>
    </row>
    <row r="104" spans="1:15" x14ac:dyDescent="0.3">
      <c r="A104" t="s">
        <v>103</v>
      </c>
      <c r="B104">
        <v>10159</v>
      </c>
      <c r="C104" s="4">
        <v>51337</v>
      </c>
      <c r="D104" t="s">
        <v>315</v>
      </c>
      <c r="E104" t="s">
        <v>348</v>
      </c>
      <c r="F104" s="1">
        <v>33147</v>
      </c>
      <c r="G104" t="s">
        <v>379</v>
      </c>
      <c r="H104" t="s">
        <v>382</v>
      </c>
      <c r="I104" t="s">
        <v>387</v>
      </c>
      <c r="J104" t="s">
        <v>392</v>
      </c>
      <c r="K104" s="1">
        <v>42093</v>
      </c>
      <c r="L104" t="s">
        <v>399</v>
      </c>
      <c r="M104" t="s">
        <v>406</v>
      </c>
      <c r="N104" t="s">
        <v>428</v>
      </c>
      <c r="O104" s="2">
        <f t="shared" ca="1" si="1"/>
        <v>34</v>
      </c>
    </row>
    <row r="105" spans="1:15" x14ac:dyDescent="0.3">
      <c r="A105" t="s">
        <v>104</v>
      </c>
      <c r="B105">
        <v>10122</v>
      </c>
      <c r="C105" s="4">
        <v>51505</v>
      </c>
      <c r="D105" t="s">
        <v>315</v>
      </c>
      <c r="E105" t="s">
        <v>348</v>
      </c>
      <c r="F105" s="1">
        <v>25703</v>
      </c>
      <c r="G105" t="s">
        <v>379</v>
      </c>
      <c r="H105" t="s">
        <v>383</v>
      </c>
      <c r="I105" t="s">
        <v>387</v>
      </c>
      <c r="J105" t="s">
        <v>392</v>
      </c>
      <c r="K105" s="1">
        <v>40854</v>
      </c>
      <c r="L105" t="s">
        <v>399</v>
      </c>
      <c r="M105" t="s">
        <v>409</v>
      </c>
      <c r="N105" t="s">
        <v>432</v>
      </c>
      <c r="O105" s="2">
        <f t="shared" ca="1" si="1"/>
        <v>54</v>
      </c>
    </row>
    <row r="106" spans="1:15" x14ac:dyDescent="0.3">
      <c r="A106" t="s">
        <v>105</v>
      </c>
      <c r="B106">
        <v>10142</v>
      </c>
      <c r="C106" s="4">
        <v>59370</v>
      </c>
      <c r="D106" t="s">
        <v>326</v>
      </c>
      <c r="E106" t="s">
        <v>356</v>
      </c>
      <c r="F106" s="1">
        <v>26124</v>
      </c>
      <c r="G106" t="s">
        <v>379</v>
      </c>
      <c r="H106" t="s">
        <v>384</v>
      </c>
      <c r="I106" t="s">
        <v>387</v>
      </c>
      <c r="J106" t="s">
        <v>392</v>
      </c>
      <c r="K106" s="1">
        <v>41827</v>
      </c>
      <c r="L106" t="s">
        <v>403</v>
      </c>
      <c r="M106" t="s">
        <v>420</v>
      </c>
      <c r="N106" t="s">
        <v>434</v>
      </c>
      <c r="O106" s="2">
        <f t="shared" ca="1" si="1"/>
        <v>53</v>
      </c>
    </row>
    <row r="107" spans="1:15" x14ac:dyDescent="0.3">
      <c r="A107" t="s">
        <v>106</v>
      </c>
      <c r="B107">
        <v>10283</v>
      </c>
      <c r="C107" s="4">
        <v>54933</v>
      </c>
      <c r="D107" t="s">
        <v>315</v>
      </c>
      <c r="E107" t="s">
        <v>348</v>
      </c>
      <c r="F107" s="1">
        <v>27250</v>
      </c>
      <c r="G107" t="s">
        <v>378</v>
      </c>
      <c r="H107" t="s">
        <v>382</v>
      </c>
      <c r="I107" t="s">
        <v>387</v>
      </c>
      <c r="J107" t="s">
        <v>392</v>
      </c>
      <c r="K107" s="1">
        <v>41001</v>
      </c>
      <c r="L107" t="s">
        <v>399</v>
      </c>
      <c r="M107" t="s">
        <v>410</v>
      </c>
      <c r="N107" t="s">
        <v>432</v>
      </c>
      <c r="O107" s="2">
        <f t="shared" ca="1" si="1"/>
        <v>50</v>
      </c>
    </row>
    <row r="108" spans="1:15" x14ac:dyDescent="0.3">
      <c r="A108" t="s">
        <v>107</v>
      </c>
      <c r="B108">
        <v>10018</v>
      </c>
      <c r="C108" s="4">
        <v>57815</v>
      </c>
      <c r="D108" t="s">
        <v>315</v>
      </c>
      <c r="E108" t="s">
        <v>348</v>
      </c>
      <c r="F108" s="1">
        <v>29349</v>
      </c>
      <c r="G108" t="s">
        <v>379</v>
      </c>
      <c r="H108" t="s">
        <v>381</v>
      </c>
      <c r="I108" t="s">
        <v>387</v>
      </c>
      <c r="J108" t="s">
        <v>393</v>
      </c>
      <c r="K108" s="1">
        <v>41911</v>
      </c>
      <c r="L108" t="s">
        <v>399</v>
      </c>
      <c r="M108" t="s">
        <v>411</v>
      </c>
      <c r="N108" t="s">
        <v>429</v>
      </c>
      <c r="O108" s="2">
        <f t="shared" ca="1" si="1"/>
        <v>44</v>
      </c>
    </row>
    <row r="109" spans="1:15" x14ac:dyDescent="0.3">
      <c r="A109" t="s">
        <v>108</v>
      </c>
      <c r="B109">
        <v>10255</v>
      </c>
      <c r="C109" s="4">
        <v>61555</v>
      </c>
      <c r="D109" t="s">
        <v>326</v>
      </c>
      <c r="E109" t="s">
        <v>357</v>
      </c>
      <c r="F109" s="1">
        <v>32773</v>
      </c>
      <c r="G109" t="s">
        <v>379</v>
      </c>
      <c r="H109" t="s">
        <v>381</v>
      </c>
      <c r="I109" t="s">
        <v>387</v>
      </c>
      <c r="J109" t="s">
        <v>391</v>
      </c>
      <c r="K109" s="1">
        <v>42051</v>
      </c>
      <c r="L109" t="s">
        <v>403</v>
      </c>
      <c r="M109" t="s">
        <v>422</v>
      </c>
      <c r="N109" t="s">
        <v>429</v>
      </c>
      <c r="O109" s="2">
        <f t="shared" ca="1" si="1"/>
        <v>35</v>
      </c>
    </row>
    <row r="110" spans="1:15" x14ac:dyDescent="0.3">
      <c r="A110" t="s">
        <v>109</v>
      </c>
      <c r="B110">
        <v>10246</v>
      </c>
      <c r="C110" s="4">
        <v>114800</v>
      </c>
      <c r="D110" t="s">
        <v>321</v>
      </c>
      <c r="E110" t="s">
        <v>348</v>
      </c>
      <c r="F110" s="1">
        <v>26229</v>
      </c>
      <c r="G110" t="s">
        <v>379</v>
      </c>
      <c r="H110" t="s">
        <v>381</v>
      </c>
      <c r="I110" t="s">
        <v>387</v>
      </c>
      <c r="J110" t="s">
        <v>391</v>
      </c>
      <c r="K110" s="1">
        <v>42051</v>
      </c>
      <c r="L110" t="s">
        <v>400</v>
      </c>
      <c r="M110" t="s">
        <v>407</v>
      </c>
      <c r="N110" t="s">
        <v>429</v>
      </c>
      <c r="O110" s="2">
        <f t="shared" ca="1" si="1"/>
        <v>53</v>
      </c>
    </row>
    <row r="111" spans="1:15" x14ac:dyDescent="0.3">
      <c r="A111" t="s">
        <v>110</v>
      </c>
      <c r="B111">
        <v>10228</v>
      </c>
      <c r="C111" s="4">
        <v>74679</v>
      </c>
      <c r="D111" t="s">
        <v>319</v>
      </c>
      <c r="E111" t="s">
        <v>348</v>
      </c>
      <c r="F111" s="1">
        <v>32836</v>
      </c>
      <c r="G111" t="s">
        <v>378</v>
      </c>
      <c r="H111" t="s">
        <v>382</v>
      </c>
      <c r="I111" t="s">
        <v>387</v>
      </c>
      <c r="J111" t="s">
        <v>391</v>
      </c>
      <c r="K111" s="1">
        <v>42093</v>
      </c>
      <c r="L111" t="s">
        <v>400</v>
      </c>
      <c r="M111" t="s">
        <v>415</v>
      </c>
      <c r="N111" t="s">
        <v>428</v>
      </c>
      <c r="O111" s="2">
        <f t="shared" ca="1" si="1"/>
        <v>35</v>
      </c>
    </row>
    <row r="112" spans="1:15" x14ac:dyDescent="0.3">
      <c r="A112" t="s">
        <v>111</v>
      </c>
      <c r="B112">
        <v>10243</v>
      </c>
      <c r="C112" s="4">
        <v>53018</v>
      </c>
      <c r="D112" t="s">
        <v>315</v>
      </c>
      <c r="E112" t="s">
        <v>348</v>
      </c>
      <c r="F112" s="1">
        <v>33773</v>
      </c>
      <c r="G112" t="s">
        <v>379</v>
      </c>
      <c r="H112" t="s">
        <v>381</v>
      </c>
      <c r="I112" t="s">
        <v>387</v>
      </c>
      <c r="J112" t="s">
        <v>391</v>
      </c>
      <c r="K112" s="1">
        <v>41589</v>
      </c>
      <c r="L112" t="s">
        <v>399</v>
      </c>
      <c r="M112" t="s">
        <v>413</v>
      </c>
      <c r="N112" t="s">
        <v>429</v>
      </c>
      <c r="O112" s="2">
        <f t="shared" ca="1" si="1"/>
        <v>32</v>
      </c>
    </row>
    <row r="113" spans="1:15" x14ac:dyDescent="0.3">
      <c r="A113" t="s">
        <v>112</v>
      </c>
      <c r="B113">
        <v>10031</v>
      </c>
      <c r="C113" s="4">
        <v>59892</v>
      </c>
      <c r="D113" t="s">
        <v>315</v>
      </c>
      <c r="E113" t="s">
        <v>348</v>
      </c>
      <c r="F113" s="1">
        <v>25475</v>
      </c>
      <c r="G113" t="s">
        <v>378</v>
      </c>
      <c r="H113" t="s">
        <v>383</v>
      </c>
      <c r="I113" t="s">
        <v>387</v>
      </c>
      <c r="J113" t="s">
        <v>392</v>
      </c>
      <c r="K113" s="1">
        <v>40735</v>
      </c>
      <c r="L113" t="s">
        <v>399</v>
      </c>
      <c r="M113" t="s">
        <v>414</v>
      </c>
      <c r="N113" t="s">
        <v>432</v>
      </c>
      <c r="O113" s="2">
        <f t="shared" ca="1" si="1"/>
        <v>55</v>
      </c>
    </row>
    <row r="114" spans="1:15" x14ac:dyDescent="0.3">
      <c r="A114" t="s">
        <v>113</v>
      </c>
      <c r="B114">
        <v>10300</v>
      </c>
      <c r="C114" s="4">
        <v>68898</v>
      </c>
      <c r="D114" t="s">
        <v>317</v>
      </c>
      <c r="E114" t="s">
        <v>348</v>
      </c>
      <c r="F114" s="1">
        <v>23662</v>
      </c>
      <c r="G114" t="s">
        <v>378</v>
      </c>
      <c r="H114" t="s">
        <v>382</v>
      </c>
      <c r="I114" t="s">
        <v>387</v>
      </c>
      <c r="J114" t="s">
        <v>392</v>
      </c>
      <c r="K114" s="1">
        <v>40294</v>
      </c>
      <c r="L114" t="s">
        <v>399</v>
      </c>
      <c r="M114" t="s">
        <v>414</v>
      </c>
      <c r="N114" t="s">
        <v>432</v>
      </c>
      <c r="O114" s="2">
        <f t="shared" ca="1" si="1"/>
        <v>60</v>
      </c>
    </row>
    <row r="115" spans="1:15" x14ac:dyDescent="0.3">
      <c r="A115" t="s">
        <v>114</v>
      </c>
      <c r="B115">
        <v>10101</v>
      </c>
      <c r="C115" s="4">
        <v>61242</v>
      </c>
      <c r="D115" t="s">
        <v>319</v>
      </c>
      <c r="E115" t="s">
        <v>348</v>
      </c>
      <c r="F115" s="1">
        <v>29692</v>
      </c>
      <c r="G115" t="s">
        <v>379</v>
      </c>
      <c r="H115" t="s">
        <v>385</v>
      </c>
      <c r="I115" t="s">
        <v>387</v>
      </c>
      <c r="J115" t="s">
        <v>391</v>
      </c>
      <c r="K115" s="1">
        <v>42009</v>
      </c>
      <c r="L115" t="s">
        <v>400</v>
      </c>
      <c r="M115" t="s">
        <v>415</v>
      </c>
      <c r="N115" t="s">
        <v>431</v>
      </c>
      <c r="O115" s="2">
        <f t="shared" ca="1" si="1"/>
        <v>43</v>
      </c>
    </row>
    <row r="116" spans="1:15" x14ac:dyDescent="0.3">
      <c r="A116" t="s">
        <v>115</v>
      </c>
      <c r="B116">
        <v>10237</v>
      </c>
      <c r="C116" s="4">
        <v>66825</v>
      </c>
      <c r="D116" t="s">
        <v>317</v>
      </c>
      <c r="E116" t="s">
        <v>348</v>
      </c>
      <c r="F116" s="1">
        <v>31557</v>
      </c>
      <c r="G116" t="s">
        <v>379</v>
      </c>
      <c r="H116" t="s">
        <v>382</v>
      </c>
      <c r="I116" t="s">
        <v>387</v>
      </c>
      <c r="J116" t="s">
        <v>391</v>
      </c>
      <c r="K116" s="1">
        <v>41771</v>
      </c>
      <c r="L116" t="s">
        <v>399</v>
      </c>
      <c r="M116" t="s">
        <v>416</v>
      </c>
      <c r="N116" t="s">
        <v>428</v>
      </c>
      <c r="O116" s="2">
        <f t="shared" ca="1" si="1"/>
        <v>38</v>
      </c>
    </row>
    <row r="117" spans="1:15" x14ac:dyDescent="0.3">
      <c r="A117" t="s">
        <v>116</v>
      </c>
      <c r="B117">
        <v>10051</v>
      </c>
      <c r="C117" s="4">
        <v>48285</v>
      </c>
      <c r="D117" t="s">
        <v>315</v>
      </c>
      <c r="E117" t="s">
        <v>348</v>
      </c>
      <c r="F117" s="1">
        <v>28996</v>
      </c>
      <c r="G117" t="s">
        <v>378</v>
      </c>
      <c r="H117" t="s">
        <v>382</v>
      </c>
      <c r="I117" t="s">
        <v>387</v>
      </c>
      <c r="J117" t="s">
        <v>391</v>
      </c>
      <c r="K117" s="1">
        <v>41092</v>
      </c>
      <c r="L117" t="s">
        <v>399</v>
      </c>
      <c r="M117" t="s">
        <v>416</v>
      </c>
      <c r="N117" t="s">
        <v>428</v>
      </c>
      <c r="O117" s="2">
        <f t="shared" ca="1" si="1"/>
        <v>45</v>
      </c>
    </row>
    <row r="118" spans="1:15" x14ac:dyDescent="0.3">
      <c r="A118" t="s">
        <v>117</v>
      </c>
      <c r="B118">
        <v>10218</v>
      </c>
      <c r="C118" s="4">
        <v>66149</v>
      </c>
      <c r="D118" t="s">
        <v>317</v>
      </c>
      <c r="E118" t="s">
        <v>348</v>
      </c>
      <c r="F118" s="1">
        <v>30658</v>
      </c>
      <c r="G118" t="s">
        <v>379</v>
      </c>
      <c r="H118" t="s">
        <v>385</v>
      </c>
      <c r="I118" t="s">
        <v>387</v>
      </c>
      <c r="J118" t="s">
        <v>395</v>
      </c>
      <c r="K118" s="1">
        <v>41547</v>
      </c>
      <c r="L118" t="s">
        <v>399</v>
      </c>
      <c r="M118" t="s">
        <v>408</v>
      </c>
      <c r="N118" t="s">
        <v>430</v>
      </c>
      <c r="O118" s="2">
        <f t="shared" ca="1" si="1"/>
        <v>41</v>
      </c>
    </row>
    <row r="119" spans="1:15" x14ac:dyDescent="0.3">
      <c r="A119" t="s">
        <v>118</v>
      </c>
      <c r="B119">
        <v>10256</v>
      </c>
      <c r="C119" s="4">
        <v>49256</v>
      </c>
      <c r="D119" t="s">
        <v>315</v>
      </c>
      <c r="E119" t="s">
        <v>348</v>
      </c>
      <c r="F119" s="1">
        <v>27311</v>
      </c>
      <c r="G119" t="s">
        <v>379</v>
      </c>
      <c r="H119" t="s">
        <v>382</v>
      </c>
      <c r="I119" t="s">
        <v>387</v>
      </c>
      <c r="J119" t="s">
        <v>394</v>
      </c>
      <c r="K119" s="1">
        <v>41505</v>
      </c>
      <c r="L119" t="s">
        <v>399</v>
      </c>
      <c r="M119" t="s">
        <v>408</v>
      </c>
      <c r="N119" t="s">
        <v>428</v>
      </c>
      <c r="O119" s="2">
        <f t="shared" ca="1" si="1"/>
        <v>50</v>
      </c>
    </row>
    <row r="120" spans="1:15" x14ac:dyDescent="0.3">
      <c r="A120" t="s">
        <v>119</v>
      </c>
      <c r="B120">
        <v>10098</v>
      </c>
      <c r="C120" s="4">
        <v>62957</v>
      </c>
      <c r="D120" t="s">
        <v>324</v>
      </c>
      <c r="E120" t="s">
        <v>348</v>
      </c>
      <c r="F120" s="1">
        <v>29778</v>
      </c>
      <c r="G120" t="s">
        <v>378</v>
      </c>
      <c r="H120" t="s">
        <v>383</v>
      </c>
      <c r="I120" t="s">
        <v>387</v>
      </c>
      <c r="J120" t="s">
        <v>391</v>
      </c>
      <c r="K120" s="1">
        <v>42157</v>
      </c>
      <c r="L120" t="s">
        <v>399</v>
      </c>
      <c r="M120" t="s">
        <v>419</v>
      </c>
      <c r="N120" t="s">
        <v>431</v>
      </c>
      <c r="O120" s="2">
        <f t="shared" ca="1" si="1"/>
        <v>43</v>
      </c>
    </row>
    <row r="121" spans="1:15" x14ac:dyDescent="0.3">
      <c r="A121" t="s">
        <v>120</v>
      </c>
      <c r="B121">
        <v>10059</v>
      </c>
      <c r="C121" s="4">
        <v>63813</v>
      </c>
      <c r="D121" t="s">
        <v>315</v>
      </c>
      <c r="E121" t="s">
        <v>348</v>
      </c>
      <c r="F121" s="1">
        <v>30457</v>
      </c>
      <c r="G121" t="s">
        <v>379</v>
      </c>
      <c r="H121" t="s">
        <v>383</v>
      </c>
      <c r="I121" t="s">
        <v>387</v>
      </c>
      <c r="J121" t="s">
        <v>391</v>
      </c>
      <c r="K121" s="1">
        <v>40595</v>
      </c>
      <c r="L121" t="s">
        <v>399</v>
      </c>
      <c r="M121" t="s">
        <v>417</v>
      </c>
      <c r="N121" t="s">
        <v>434</v>
      </c>
      <c r="O121" s="2">
        <f t="shared" ca="1" si="1"/>
        <v>41</v>
      </c>
    </row>
    <row r="122" spans="1:15" x14ac:dyDescent="0.3">
      <c r="A122" t="s">
        <v>121</v>
      </c>
      <c r="B122">
        <v>10234</v>
      </c>
      <c r="C122" s="4">
        <v>99020</v>
      </c>
      <c r="D122" t="s">
        <v>332</v>
      </c>
      <c r="E122" t="s">
        <v>348</v>
      </c>
      <c r="F122" s="1">
        <v>32689</v>
      </c>
      <c r="G122" t="s">
        <v>378</v>
      </c>
      <c r="H122" t="s">
        <v>382</v>
      </c>
      <c r="I122" t="s">
        <v>387</v>
      </c>
      <c r="J122" t="s">
        <v>392</v>
      </c>
      <c r="K122" s="1">
        <v>42845</v>
      </c>
      <c r="L122" t="s">
        <v>400</v>
      </c>
      <c r="M122" t="s">
        <v>425</v>
      </c>
      <c r="N122" t="s">
        <v>429</v>
      </c>
      <c r="O122" s="2">
        <f t="shared" ca="1" si="1"/>
        <v>35</v>
      </c>
    </row>
    <row r="123" spans="1:15" x14ac:dyDescent="0.3">
      <c r="A123" t="s">
        <v>122</v>
      </c>
      <c r="B123">
        <v>10109</v>
      </c>
      <c r="C123" s="4">
        <v>71707</v>
      </c>
      <c r="D123" t="s">
        <v>326</v>
      </c>
      <c r="E123" t="s">
        <v>358</v>
      </c>
      <c r="F123" s="1">
        <v>25243</v>
      </c>
      <c r="G123" t="s">
        <v>378</v>
      </c>
      <c r="H123" t="s">
        <v>381</v>
      </c>
      <c r="I123" t="s">
        <v>387</v>
      </c>
      <c r="J123" t="s">
        <v>393</v>
      </c>
      <c r="K123" s="1">
        <v>40975</v>
      </c>
      <c r="L123" t="s">
        <v>403</v>
      </c>
      <c r="M123" t="s">
        <v>420</v>
      </c>
      <c r="N123" t="s">
        <v>428</v>
      </c>
      <c r="O123" s="2">
        <f t="shared" ca="1" si="1"/>
        <v>56</v>
      </c>
    </row>
    <row r="124" spans="1:15" x14ac:dyDescent="0.3">
      <c r="A124" t="s">
        <v>123</v>
      </c>
      <c r="B124">
        <v>10125</v>
      </c>
      <c r="C124" s="4">
        <v>54828</v>
      </c>
      <c r="D124" t="s">
        <v>315</v>
      </c>
      <c r="E124" t="s">
        <v>348</v>
      </c>
      <c r="F124" s="1">
        <v>28207</v>
      </c>
      <c r="G124" t="s">
        <v>379</v>
      </c>
      <c r="H124" t="s">
        <v>382</v>
      </c>
      <c r="I124" t="s">
        <v>387</v>
      </c>
      <c r="J124" t="s">
        <v>391</v>
      </c>
      <c r="K124" s="1">
        <v>40875</v>
      </c>
      <c r="L124" t="s">
        <v>399</v>
      </c>
      <c r="M124" t="s">
        <v>406</v>
      </c>
      <c r="N124" t="s">
        <v>430</v>
      </c>
      <c r="O124" s="2">
        <f t="shared" ca="1" si="1"/>
        <v>48</v>
      </c>
    </row>
    <row r="125" spans="1:15" x14ac:dyDescent="0.3">
      <c r="A125" t="s">
        <v>124</v>
      </c>
      <c r="B125">
        <v>10074</v>
      </c>
      <c r="C125" s="4">
        <v>64246</v>
      </c>
      <c r="D125" t="s">
        <v>317</v>
      </c>
      <c r="E125" t="s">
        <v>348</v>
      </c>
      <c r="F125" s="1">
        <v>32365</v>
      </c>
      <c r="G125" t="s">
        <v>378</v>
      </c>
      <c r="H125" t="s">
        <v>381</v>
      </c>
      <c r="I125" t="s">
        <v>387</v>
      </c>
      <c r="J125" t="s">
        <v>391</v>
      </c>
      <c r="K125" s="1">
        <v>41589</v>
      </c>
      <c r="L125" t="s">
        <v>399</v>
      </c>
      <c r="M125" t="s">
        <v>417</v>
      </c>
      <c r="N125" t="s">
        <v>428</v>
      </c>
      <c r="O125" s="2">
        <f t="shared" ca="1" si="1"/>
        <v>36</v>
      </c>
    </row>
    <row r="126" spans="1:15" x14ac:dyDescent="0.3">
      <c r="A126" t="s">
        <v>125</v>
      </c>
      <c r="B126">
        <v>10097</v>
      </c>
      <c r="C126" s="4">
        <v>52177</v>
      </c>
      <c r="D126" t="s">
        <v>315</v>
      </c>
      <c r="E126" t="s">
        <v>348</v>
      </c>
      <c r="F126" s="1">
        <v>19224</v>
      </c>
      <c r="G126" t="s">
        <v>379</v>
      </c>
      <c r="H126" t="s">
        <v>381</v>
      </c>
      <c r="I126" t="s">
        <v>387</v>
      </c>
      <c r="J126" t="s">
        <v>391</v>
      </c>
      <c r="K126" s="1">
        <v>40917</v>
      </c>
      <c r="L126" t="s">
        <v>399</v>
      </c>
      <c r="M126" t="s">
        <v>410</v>
      </c>
      <c r="N126" t="s">
        <v>434</v>
      </c>
      <c r="O126" s="2">
        <f t="shared" ca="1" si="1"/>
        <v>72</v>
      </c>
    </row>
    <row r="127" spans="1:15" x14ac:dyDescent="0.3">
      <c r="A127" t="s">
        <v>126</v>
      </c>
      <c r="B127">
        <v>10007</v>
      </c>
      <c r="C127" s="4">
        <v>62065</v>
      </c>
      <c r="D127" t="s">
        <v>315</v>
      </c>
      <c r="E127" t="s">
        <v>348</v>
      </c>
      <c r="F127" s="1">
        <v>27151</v>
      </c>
      <c r="G127" t="s">
        <v>379</v>
      </c>
      <c r="H127" t="s">
        <v>382</v>
      </c>
      <c r="I127" t="s">
        <v>387</v>
      </c>
      <c r="J127" t="s">
        <v>391</v>
      </c>
      <c r="K127" s="1">
        <v>41771</v>
      </c>
      <c r="L127" t="s">
        <v>399</v>
      </c>
      <c r="M127" t="s">
        <v>411</v>
      </c>
      <c r="N127" t="s">
        <v>434</v>
      </c>
      <c r="O127" s="2">
        <f t="shared" ca="1" si="1"/>
        <v>50</v>
      </c>
    </row>
    <row r="128" spans="1:15" x14ac:dyDescent="0.3">
      <c r="A128" t="s">
        <v>127</v>
      </c>
      <c r="B128">
        <v>10129</v>
      </c>
      <c r="C128" s="4">
        <v>46998</v>
      </c>
      <c r="D128" t="s">
        <v>315</v>
      </c>
      <c r="E128" t="s">
        <v>348</v>
      </c>
      <c r="F128" s="1">
        <v>30685</v>
      </c>
      <c r="G128" t="s">
        <v>378</v>
      </c>
      <c r="H128" t="s">
        <v>381</v>
      </c>
      <c r="I128" t="s">
        <v>387</v>
      </c>
      <c r="J128" t="s">
        <v>391</v>
      </c>
      <c r="K128" s="1">
        <v>41134</v>
      </c>
      <c r="L128" t="s">
        <v>399</v>
      </c>
      <c r="M128" t="s">
        <v>413</v>
      </c>
      <c r="N128" t="s">
        <v>430</v>
      </c>
      <c r="O128" s="2">
        <f t="shared" ca="1" si="1"/>
        <v>41</v>
      </c>
    </row>
    <row r="129" spans="1:15" x14ac:dyDescent="0.3">
      <c r="A129" t="s">
        <v>128</v>
      </c>
      <c r="B129">
        <v>10075</v>
      </c>
      <c r="C129" s="4">
        <v>68099</v>
      </c>
      <c r="D129" t="s">
        <v>317</v>
      </c>
      <c r="E129" t="s">
        <v>348</v>
      </c>
      <c r="F129" s="1">
        <v>26538</v>
      </c>
      <c r="G129" t="s">
        <v>379</v>
      </c>
      <c r="H129" t="s">
        <v>381</v>
      </c>
      <c r="I129" t="s">
        <v>387</v>
      </c>
      <c r="J129" t="s">
        <v>391</v>
      </c>
      <c r="K129" s="1">
        <v>40553</v>
      </c>
      <c r="L129" t="s">
        <v>399</v>
      </c>
      <c r="M129" t="s">
        <v>417</v>
      </c>
      <c r="N129" t="s">
        <v>434</v>
      </c>
      <c r="O129" s="2">
        <f t="shared" ca="1" si="1"/>
        <v>52</v>
      </c>
    </row>
    <row r="130" spans="1:15" x14ac:dyDescent="0.3">
      <c r="A130" t="s">
        <v>129</v>
      </c>
      <c r="B130">
        <v>10167</v>
      </c>
      <c r="C130" s="4">
        <v>70545</v>
      </c>
      <c r="D130" t="s">
        <v>326</v>
      </c>
      <c r="E130" t="s">
        <v>359</v>
      </c>
      <c r="F130" s="1">
        <v>32400</v>
      </c>
      <c r="G130" t="s">
        <v>378</v>
      </c>
      <c r="H130" t="s">
        <v>382</v>
      </c>
      <c r="I130" t="s">
        <v>387</v>
      </c>
      <c r="J130" t="s">
        <v>395</v>
      </c>
      <c r="K130" s="1">
        <v>41869</v>
      </c>
      <c r="L130" t="s">
        <v>403</v>
      </c>
      <c r="M130" t="s">
        <v>420</v>
      </c>
      <c r="N130" t="s">
        <v>429</v>
      </c>
      <c r="O130" s="2">
        <f t="shared" ca="1" si="1"/>
        <v>36</v>
      </c>
    </row>
    <row r="131" spans="1:15" x14ac:dyDescent="0.3">
      <c r="A131" t="s">
        <v>130</v>
      </c>
      <c r="B131">
        <v>10195</v>
      </c>
      <c r="C131" s="4">
        <v>63478</v>
      </c>
      <c r="D131" t="s">
        <v>317</v>
      </c>
      <c r="E131" t="s">
        <v>348</v>
      </c>
      <c r="F131" s="1">
        <v>30728</v>
      </c>
      <c r="G131" t="s">
        <v>379</v>
      </c>
      <c r="H131" t="s">
        <v>382</v>
      </c>
      <c r="I131" t="s">
        <v>389</v>
      </c>
      <c r="J131" t="s">
        <v>391</v>
      </c>
      <c r="K131" s="1">
        <v>40770</v>
      </c>
      <c r="L131" t="s">
        <v>399</v>
      </c>
      <c r="M131" t="s">
        <v>406</v>
      </c>
      <c r="N131" t="s">
        <v>429</v>
      </c>
      <c r="O131" s="2">
        <f t="shared" ref="O131:O194" ca="1" si="2">INT(YEARFRAC(F131,TODAY(),1))</f>
        <v>41</v>
      </c>
    </row>
    <row r="132" spans="1:15" x14ac:dyDescent="0.3">
      <c r="A132" t="s">
        <v>131</v>
      </c>
      <c r="B132">
        <v>10112</v>
      </c>
      <c r="C132" s="4">
        <v>97999</v>
      </c>
      <c r="D132" t="s">
        <v>321</v>
      </c>
      <c r="E132" t="s">
        <v>348</v>
      </c>
      <c r="F132" s="1">
        <v>30733</v>
      </c>
      <c r="G132" t="s">
        <v>379</v>
      </c>
      <c r="H132" t="s">
        <v>381</v>
      </c>
      <c r="I132" t="s">
        <v>387</v>
      </c>
      <c r="J132" t="s">
        <v>391</v>
      </c>
      <c r="K132" s="1">
        <v>42093</v>
      </c>
      <c r="L132" t="s">
        <v>400</v>
      </c>
      <c r="M132" t="s">
        <v>407</v>
      </c>
      <c r="N132" t="s">
        <v>429</v>
      </c>
      <c r="O132" s="2">
        <f t="shared" ca="1" si="2"/>
        <v>41</v>
      </c>
    </row>
    <row r="133" spans="1:15" x14ac:dyDescent="0.3">
      <c r="A133" t="s">
        <v>132</v>
      </c>
      <c r="B133">
        <v>10272</v>
      </c>
      <c r="C133" s="4">
        <v>180000</v>
      </c>
      <c r="D133" t="s">
        <v>336</v>
      </c>
      <c r="E133" t="s">
        <v>360</v>
      </c>
      <c r="F133" s="1">
        <v>24183</v>
      </c>
      <c r="G133" t="s">
        <v>379</v>
      </c>
      <c r="H133" t="s">
        <v>382</v>
      </c>
      <c r="I133" t="s">
        <v>387</v>
      </c>
      <c r="J133" t="s">
        <v>391</v>
      </c>
      <c r="K133" s="1">
        <v>41764</v>
      </c>
      <c r="L133" t="s">
        <v>403</v>
      </c>
      <c r="M133" t="s">
        <v>419</v>
      </c>
      <c r="N133" t="s">
        <v>428</v>
      </c>
      <c r="O133" s="2">
        <f t="shared" ca="1" si="2"/>
        <v>59</v>
      </c>
    </row>
    <row r="134" spans="1:15" x14ac:dyDescent="0.3">
      <c r="A134" t="s">
        <v>133</v>
      </c>
      <c r="B134">
        <v>10182</v>
      </c>
      <c r="C134" s="4">
        <v>49920</v>
      </c>
      <c r="D134" t="s">
        <v>337</v>
      </c>
      <c r="E134" t="s">
        <v>348</v>
      </c>
      <c r="F134" s="1">
        <v>31306</v>
      </c>
      <c r="G134" t="s">
        <v>379</v>
      </c>
      <c r="H134" t="s">
        <v>382</v>
      </c>
      <c r="I134" t="s">
        <v>387</v>
      </c>
      <c r="J134" t="s">
        <v>392</v>
      </c>
      <c r="K134" s="1">
        <v>42051</v>
      </c>
      <c r="L134" t="s">
        <v>402</v>
      </c>
      <c r="M134" t="s">
        <v>418</v>
      </c>
      <c r="N134" t="s">
        <v>429</v>
      </c>
      <c r="O134" s="2">
        <f t="shared" ca="1" si="2"/>
        <v>39</v>
      </c>
    </row>
    <row r="135" spans="1:15" x14ac:dyDescent="0.3">
      <c r="A135" t="s">
        <v>134</v>
      </c>
      <c r="B135">
        <v>10248</v>
      </c>
      <c r="C135" s="4">
        <v>55425</v>
      </c>
      <c r="D135" t="s">
        <v>315</v>
      </c>
      <c r="E135" t="s">
        <v>348</v>
      </c>
      <c r="F135" s="1">
        <v>31573</v>
      </c>
      <c r="G135" t="s">
        <v>379</v>
      </c>
      <c r="H135" t="s">
        <v>381</v>
      </c>
      <c r="I135" t="s">
        <v>387</v>
      </c>
      <c r="J135" t="s">
        <v>391</v>
      </c>
      <c r="K135" s="1">
        <v>40959</v>
      </c>
      <c r="L135" t="s">
        <v>399</v>
      </c>
      <c r="M135" t="s">
        <v>413</v>
      </c>
      <c r="N135" t="s">
        <v>428</v>
      </c>
      <c r="O135" s="2">
        <f t="shared" ca="1" si="2"/>
        <v>38</v>
      </c>
    </row>
    <row r="136" spans="1:15" x14ac:dyDescent="0.3">
      <c r="A136" t="s">
        <v>135</v>
      </c>
      <c r="B136">
        <v>10201</v>
      </c>
      <c r="C136" s="4">
        <v>69340</v>
      </c>
      <c r="D136" t="s">
        <v>317</v>
      </c>
      <c r="E136" t="s">
        <v>348</v>
      </c>
      <c r="F136" s="1">
        <v>30752</v>
      </c>
      <c r="G136" t="s">
        <v>379</v>
      </c>
      <c r="H136" t="s">
        <v>381</v>
      </c>
      <c r="I136" t="s">
        <v>387</v>
      </c>
      <c r="J136" t="s">
        <v>391</v>
      </c>
      <c r="K136" s="1">
        <v>42527</v>
      </c>
      <c r="L136" t="s">
        <v>399</v>
      </c>
      <c r="M136" t="s">
        <v>409</v>
      </c>
      <c r="N136" t="s">
        <v>428</v>
      </c>
      <c r="O136" s="2">
        <f t="shared" ca="1" si="2"/>
        <v>41</v>
      </c>
    </row>
    <row r="137" spans="1:15" x14ac:dyDescent="0.3">
      <c r="A137" t="s">
        <v>136</v>
      </c>
      <c r="B137">
        <v>10214</v>
      </c>
      <c r="C137" s="4">
        <v>64995</v>
      </c>
      <c r="D137" t="s">
        <v>317</v>
      </c>
      <c r="E137" t="s">
        <v>348</v>
      </c>
      <c r="F137" s="1">
        <v>33731</v>
      </c>
      <c r="G137" t="s">
        <v>379</v>
      </c>
      <c r="H137" t="s">
        <v>385</v>
      </c>
      <c r="I137" t="s">
        <v>387</v>
      </c>
      <c r="J137" t="s">
        <v>391</v>
      </c>
      <c r="K137" s="1">
        <v>42160</v>
      </c>
      <c r="L137" t="s">
        <v>399</v>
      </c>
      <c r="M137" t="s">
        <v>410</v>
      </c>
      <c r="N137" t="s">
        <v>429</v>
      </c>
      <c r="O137" s="2">
        <f t="shared" ca="1" si="2"/>
        <v>32</v>
      </c>
    </row>
    <row r="138" spans="1:15" x14ac:dyDescent="0.3">
      <c r="A138" t="s">
        <v>137</v>
      </c>
      <c r="B138">
        <v>10160</v>
      </c>
      <c r="C138" s="4">
        <v>68182</v>
      </c>
      <c r="D138" t="s">
        <v>317</v>
      </c>
      <c r="E138" t="s">
        <v>348</v>
      </c>
      <c r="F138" s="1">
        <v>28025</v>
      </c>
      <c r="G138" t="s">
        <v>379</v>
      </c>
      <c r="H138" t="s">
        <v>383</v>
      </c>
      <c r="I138" t="s">
        <v>387</v>
      </c>
      <c r="J138" t="s">
        <v>391</v>
      </c>
      <c r="K138" s="1">
        <v>40595</v>
      </c>
      <c r="L138" t="s">
        <v>399</v>
      </c>
      <c r="M138" t="s">
        <v>411</v>
      </c>
      <c r="N138" t="s">
        <v>430</v>
      </c>
      <c r="O138" s="2">
        <f t="shared" ca="1" si="2"/>
        <v>48</v>
      </c>
    </row>
    <row r="139" spans="1:15" x14ac:dyDescent="0.3">
      <c r="A139" t="s">
        <v>138</v>
      </c>
      <c r="B139">
        <v>10289</v>
      </c>
      <c r="C139" s="4">
        <v>83082</v>
      </c>
      <c r="D139" t="s">
        <v>324</v>
      </c>
      <c r="E139" t="s">
        <v>348</v>
      </c>
      <c r="F139" s="1">
        <v>28079</v>
      </c>
      <c r="G139" t="s">
        <v>378</v>
      </c>
      <c r="H139" t="s">
        <v>382</v>
      </c>
      <c r="I139" t="s">
        <v>387</v>
      </c>
      <c r="J139" t="s">
        <v>394</v>
      </c>
      <c r="K139" s="1">
        <v>40595</v>
      </c>
      <c r="L139" t="s">
        <v>399</v>
      </c>
      <c r="M139" t="s">
        <v>419</v>
      </c>
      <c r="N139" t="s">
        <v>429</v>
      </c>
      <c r="O139" s="2">
        <f t="shared" ca="1" si="2"/>
        <v>48</v>
      </c>
    </row>
    <row r="140" spans="1:15" x14ac:dyDescent="0.3">
      <c r="A140" t="s">
        <v>139</v>
      </c>
      <c r="B140">
        <v>10139</v>
      </c>
      <c r="C140" s="4">
        <v>51908</v>
      </c>
      <c r="D140" t="s">
        <v>315</v>
      </c>
      <c r="E140" t="s">
        <v>348</v>
      </c>
      <c r="F140" s="1">
        <v>33266</v>
      </c>
      <c r="G140" t="s">
        <v>379</v>
      </c>
      <c r="H140" t="s">
        <v>381</v>
      </c>
      <c r="I140" t="s">
        <v>387</v>
      </c>
      <c r="J140" t="s">
        <v>391</v>
      </c>
      <c r="K140" s="1">
        <v>41505</v>
      </c>
      <c r="L140" t="s">
        <v>399</v>
      </c>
      <c r="M140" t="s">
        <v>414</v>
      </c>
      <c r="N140" t="s">
        <v>429</v>
      </c>
      <c r="O140" s="2">
        <f t="shared" ca="1" si="2"/>
        <v>34</v>
      </c>
    </row>
    <row r="141" spans="1:15" x14ac:dyDescent="0.3">
      <c r="A141" t="s">
        <v>140</v>
      </c>
      <c r="B141">
        <v>10227</v>
      </c>
      <c r="C141" s="4">
        <v>61242</v>
      </c>
      <c r="D141" t="s">
        <v>315</v>
      </c>
      <c r="E141" t="s">
        <v>348</v>
      </c>
      <c r="F141" s="1">
        <v>26553</v>
      </c>
      <c r="G141" t="s">
        <v>379</v>
      </c>
      <c r="H141" t="s">
        <v>381</v>
      </c>
      <c r="I141" t="s">
        <v>387</v>
      </c>
      <c r="J141" t="s">
        <v>392</v>
      </c>
      <c r="K141" s="1">
        <v>41218</v>
      </c>
      <c r="L141" t="s">
        <v>399</v>
      </c>
      <c r="M141" t="s">
        <v>416</v>
      </c>
      <c r="N141" t="s">
        <v>428</v>
      </c>
      <c r="O141" s="2">
        <f t="shared" ca="1" si="2"/>
        <v>52</v>
      </c>
    </row>
    <row r="142" spans="1:15" x14ac:dyDescent="0.3">
      <c r="A142" t="s">
        <v>141</v>
      </c>
      <c r="B142">
        <v>10236</v>
      </c>
      <c r="C142" s="4">
        <v>45069</v>
      </c>
      <c r="D142" t="s">
        <v>315</v>
      </c>
      <c r="E142" t="s">
        <v>348</v>
      </c>
      <c r="F142" s="1">
        <v>24188</v>
      </c>
      <c r="G142" t="s">
        <v>379</v>
      </c>
      <c r="H142" t="s">
        <v>383</v>
      </c>
      <c r="I142" t="s">
        <v>387</v>
      </c>
      <c r="J142" t="s">
        <v>391</v>
      </c>
      <c r="K142" s="1">
        <v>41547</v>
      </c>
      <c r="L142" t="s">
        <v>399</v>
      </c>
      <c r="M142" t="s">
        <v>408</v>
      </c>
      <c r="N142" t="s">
        <v>431</v>
      </c>
      <c r="O142" s="2">
        <f t="shared" ca="1" si="2"/>
        <v>59</v>
      </c>
    </row>
    <row r="143" spans="1:15" x14ac:dyDescent="0.3">
      <c r="A143" t="s">
        <v>142</v>
      </c>
      <c r="B143">
        <v>10009</v>
      </c>
      <c r="C143" s="4">
        <v>60724</v>
      </c>
      <c r="D143" t="s">
        <v>317</v>
      </c>
      <c r="E143" t="s">
        <v>348</v>
      </c>
      <c r="F143" s="1">
        <v>31722</v>
      </c>
      <c r="G143" t="s">
        <v>379</v>
      </c>
      <c r="H143" t="s">
        <v>383</v>
      </c>
      <c r="I143" t="s">
        <v>387</v>
      </c>
      <c r="J143" t="s">
        <v>395</v>
      </c>
      <c r="K143" s="1">
        <v>40729</v>
      </c>
      <c r="L143" t="s">
        <v>399</v>
      </c>
      <c r="M143" t="s">
        <v>413</v>
      </c>
      <c r="N143" t="s">
        <v>428</v>
      </c>
      <c r="O143" s="2">
        <f t="shared" ca="1" si="2"/>
        <v>38</v>
      </c>
    </row>
    <row r="144" spans="1:15" x14ac:dyDescent="0.3">
      <c r="A144" t="s">
        <v>143</v>
      </c>
      <c r="B144">
        <v>10060</v>
      </c>
      <c r="C144" s="4">
        <v>60436</v>
      </c>
      <c r="D144" t="s">
        <v>315</v>
      </c>
      <c r="E144" t="s">
        <v>348</v>
      </c>
      <c r="F144" s="1">
        <v>23480</v>
      </c>
      <c r="G144" t="s">
        <v>379</v>
      </c>
      <c r="H144" t="s">
        <v>385</v>
      </c>
      <c r="I144" t="s">
        <v>387</v>
      </c>
      <c r="J144" t="s">
        <v>391</v>
      </c>
      <c r="K144" s="1">
        <v>41645</v>
      </c>
      <c r="L144" t="s">
        <v>399</v>
      </c>
      <c r="M144" t="s">
        <v>417</v>
      </c>
      <c r="N144" t="s">
        <v>428</v>
      </c>
      <c r="O144" s="2">
        <f t="shared" ca="1" si="2"/>
        <v>60</v>
      </c>
    </row>
    <row r="145" spans="1:15" x14ac:dyDescent="0.3">
      <c r="A145" t="s">
        <v>144</v>
      </c>
      <c r="B145">
        <v>10034</v>
      </c>
      <c r="C145" s="4">
        <v>46837</v>
      </c>
      <c r="D145" t="s">
        <v>315</v>
      </c>
      <c r="E145" t="s">
        <v>348</v>
      </c>
      <c r="F145" s="1">
        <v>21781</v>
      </c>
      <c r="G145" t="s">
        <v>378</v>
      </c>
      <c r="H145" t="s">
        <v>382</v>
      </c>
      <c r="I145" t="s">
        <v>387</v>
      </c>
      <c r="J145" t="s">
        <v>391</v>
      </c>
      <c r="K145" s="1">
        <v>40854</v>
      </c>
      <c r="L145" t="s">
        <v>399</v>
      </c>
      <c r="M145" t="s">
        <v>406</v>
      </c>
      <c r="N145" t="s">
        <v>434</v>
      </c>
      <c r="O145" s="2">
        <f t="shared" ca="1" si="2"/>
        <v>65</v>
      </c>
    </row>
    <row r="146" spans="1:15" x14ac:dyDescent="0.3">
      <c r="A146" t="s">
        <v>145</v>
      </c>
      <c r="B146">
        <v>10156</v>
      </c>
      <c r="C146" s="4">
        <v>105700</v>
      </c>
      <c r="D146" t="s">
        <v>321</v>
      </c>
      <c r="E146" t="s">
        <v>348</v>
      </c>
      <c r="F146" s="1">
        <v>31723</v>
      </c>
      <c r="G146" t="s">
        <v>379</v>
      </c>
      <c r="H146" t="s">
        <v>382</v>
      </c>
      <c r="I146" t="s">
        <v>387</v>
      </c>
      <c r="J146" t="s">
        <v>394</v>
      </c>
      <c r="K146" s="1">
        <v>42009</v>
      </c>
      <c r="L146" t="s">
        <v>400</v>
      </c>
      <c r="M146" t="s">
        <v>407</v>
      </c>
      <c r="N146" t="s">
        <v>429</v>
      </c>
      <c r="O146" s="2">
        <f t="shared" ca="1" si="2"/>
        <v>38</v>
      </c>
    </row>
    <row r="147" spans="1:15" x14ac:dyDescent="0.3">
      <c r="A147" t="s">
        <v>146</v>
      </c>
      <c r="B147">
        <v>10036</v>
      </c>
      <c r="C147" s="4">
        <v>63322</v>
      </c>
      <c r="D147" t="s">
        <v>317</v>
      </c>
      <c r="E147" t="s">
        <v>348</v>
      </c>
      <c r="F147" s="1">
        <v>25454</v>
      </c>
      <c r="G147" t="s">
        <v>379</v>
      </c>
      <c r="H147" t="s">
        <v>381</v>
      </c>
      <c r="I147" t="s">
        <v>387</v>
      </c>
      <c r="J147" t="s">
        <v>391</v>
      </c>
      <c r="K147" s="1">
        <v>41827</v>
      </c>
      <c r="L147" t="s">
        <v>399</v>
      </c>
      <c r="M147" t="s">
        <v>414</v>
      </c>
      <c r="N147" t="s">
        <v>428</v>
      </c>
      <c r="O147" s="2">
        <f t="shared" ca="1" si="2"/>
        <v>55</v>
      </c>
    </row>
    <row r="148" spans="1:15" x14ac:dyDescent="0.3">
      <c r="A148" t="s">
        <v>147</v>
      </c>
      <c r="B148">
        <v>10138</v>
      </c>
      <c r="C148" s="4">
        <v>61154</v>
      </c>
      <c r="D148" t="s">
        <v>315</v>
      </c>
      <c r="E148" t="s">
        <v>348</v>
      </c>
      <c r="F148" s="1">
        <v>31519</v>
      </c>
      <c r="G148" t="s">
        <v>379</v>
      </c>
      <c r="H148" t="s">
        <v>382</v>
      </c>
      <c r="I148" t="s">
        <v>387</v>
      </c>
      <c r="J148" t="s">
        <v>392</v>
      </c>
      <c r="K148" s="1">
        <v>40553</v>
      </c>
      <c r="L148" t="s">
        <v>399</v>
      </c>
      <c r="M148" t="s">
        <v>409</v>
      </c>
      <c r="N148" t="s">
        <v>434</v>
      </c>
      <c r="O148" s="2">
        <f t="shared" ca="1" si="2"/>
        <v>38</v>
      </c>
    </row>
    <row r="149" spans="1:15" x14ac:dyDescent="0.3">
      <c r="A149" t="s">
        <v>148</v>
      </c>
      <c r="B149">
        <v>10244</v>
      </c>
      <c r="C149" s="4">
        <v>68999</v>
      </c>
      <c r="D149" t="s">
        <v>331</v>
      </c>
      <c r="E149" t="s">
        <v>361</v>
      </c>
      <c r="F149" s="1">
        <v>32823</v>
      </c>
      <c r="G149" t="s">
        <v>379</v>
      </c>
      <c r="H149" t="s">
        <v>381</v>
      </c>
      <c r="I149" t="s">
        <v>387</v>
      </c>
      <c r="J149" t="s">
        <v>391</v>
      </c>
      <c r="K149" s="1">
        <v>40854</v>
      </c>
      <c r="L149" t="s">
        <v>403</v>
      </c>
      <c r="M149" t="s">
        <v>424</v>
      </c>
      <c r="N149" t="s">
        <v>430</v>
      </c>
      <c r="O149" s="2">
        <f t="shared" ca="1" si="2"/>
        <v>35</v>
      </c>
    </row>
    <row r="150" spans="1:15" x14ac:dyDescent="0.3">
      <c r="A150" t="s">
        <v>149</v>
      </c>
      <c r="B150">
        <v>10192</v>
      </c>
      <c r="C150" s="4">
        <v>50482</v>
      </c>
      <c r="D150" t="s">
        <v>315</v>
      </c>
      <c r="E150" t="s">
        <v>348</v>
      </c>
      <c r="F150" s="1">
        <v>27778</v>
      </c>
      <c r="G150" t="s">
        <v>378</v>
      </c>
      <c r="H150" t="s">
        <v>381</v>
      </c>
      <c r="I150" t="s">
        <v>387</v>
      </c>
      <c r="J150" t="s">
        <v>391</v>
      </c>
      <c r="K150" s="1">
        <v>41547</v>
      </c>
      <c r="L150" t="s">
        <v>399</v>
      </c>
      <c r="M150" t="s">
        <v>406</v>
      </c>
      <c r="N150" t="s">
        <v>429</v>
      </c>
      <c r="O150" s="2">
        <f t="shared" ca="1" si="2"/>
        <v>49</v>
      </c>
    </row>
    <row r="151" spans="1:15" x14ac:dyDescent="0.3">
      <c r="A151" t="s">
        <v>150</v>
      </c>
      <c r="B151">
        <v>10231</v>
      </c>
      <c r="C151" s="4">
        <v>65310</v>
      </c>
      <c r="D151" t="s">
        <v>326</v>
      </c>
      <c r="E151" t="s">
        <v>362</v>
      </c>
      <c r="F151" s="1">
        <v>29186</v>
      </c>
      <c r="G151" t="s">
        <v>378</v>
      </c>
      <c r="H151" t="s">
        <v>381</v>
      </c>
      <c r="I151" t="s">
        <v>387</v>
      </c>
      <c r="J151" t="s">
        <v>391</v>
      </c>
      <c r="K151" s="1">
        <v>41505</v>
      </c>
      <c r="L151" t="s">
        <v>403</v>
      </c>
      <c r="M151" t="s">
        <v>422</v>
      </c>
      <c r="N151" t="s">
        <v>429</v>
      </c>
      <c r="O151" s="2">
        <f t="shared" ca="1" si="2"/>
        <v>45</v>
      </c>
    </row>
    <row r="152" spans="1:15" x14ac:dyDescent="0.3">
      <c r="A152" t="s">
        <v>151</v>
      </c>
      <c r="B152">
        <v>10089</v>
      </c>
      <c r="C152" s="4">
        <v>250000</v>
      </c>
      <c r="D152" t="s">
        <v>338</v>
      </c>
      <c r="E152" t="s">
        <v>348</v>
      </c>
      <c r="F152" s="1">
        <v>19988</v>
      </c>
      <c r="G152" t="s">
        <v>379</v>
      </c>
      <c r="H152" t="s">
        <v>382</v>
      </c>
      <c r="I152" t="s">
        <v>387</v>
      </c>
      <c r="J152" t="s">
        <v>391</v>
      </c>
      <c r="K152" s="1">
        <v>41092</v>
      </c>
      <c r="L152" t="s">
        <v>404</v>
      </c>
      <c r="M152" t="s">
        <v>426</v>
      </c>
      <c r="N152" t="s">
        <v>429</v>
      </c>
      <c r="O152" s="2">
        <f t="shared" ca="1" si="2"/>
        <v>70</v>
      </c>
    </row>
    <row r="153" spans="1:15" x14ac:dyDescent="0.3">
      <c r="A153" t="s">
        <v>152</v>
      </c>
      <c r="B153">
        <v>10166</v>
      </c>
      <c r="C153" s="4">
        <v>54005</v>
      </c>
      <c r="D153" t="s">
        <v>315</v>
      </c>
      <c r="E153" t="s">
        <v>348</v>
      </c>
      <c r="F153" s="1">
        <v>27006</v>
      </c>
      <c r="G153" t="s">
        <v>379</v>
      </c>
      <c r="H153" t="s">
        <v>382</v>
      </c>
      <c r="I153" t="s">
        <v>387</v>
      </c>
      <c r="J153" t="s">
        <v>391</v>
      </c>
      <c r="K153" s="1">
        <v>40812</v>
      </c>
      <c r="L153" t="s">
        <v>399</v>
      </c>
      <c r="M153" t="s">
        <v>410</v>
      </c>
      <c r="N153" t="s">
        <v>430</v>
      </c>
      <c r="O153" s="2">
        <f t="shared" ca="1" si="2"/>
        <v>51</v>
      </c>
    </row>
    <row r="154" spans="1:15" x14ac:dyDescent="0.3">
      <c r="A154" t="s">
        <v>153</v>
      </c>
      <c r="B154">
        <v>10170</v>
      </c>
      <c r="C154" s="4">
        <v>45433</v>
      </c>
      <c r="D154" t="s">
        <v>315</v>
      </c>
      <c r="E154" t="s">
        <v>348</v>
      </c>
      <c r="F154" s="1">
        <v>25849</v>
      </c>
      <c r="G154" t="s">
        <v>379</v>
      </c>
      <c r="H154" t="s">
        <v>382</v>
      </c>
      <c r="I154" t="s">
        <v>387</v>
      </c>
      <c r="J154" t="s">
        <v>391</v>
      </c>
      <c r="K154" s="1">
        <v>40812</v>
      </c>
      <c r="L154" t="s">
        <v>399</v>
      </c>
      <c r="M154" t="s">
        <v>411</v>
      </c>
      <c r="N154" t="s">
        <v>430</v>
      </c>
      <c r="O154" s="2">
        <f t="shared" ca="1" si="2"/>
        <v>54</v>
      </c>
    </row>
    <row r="155" spans="1:15" x14ac:dyDescent="0.3">
      <c r="A155" t="s">
        <v>154</v>
      </c>
      <c r="B155">
        <v>10208</v>
      </c>
      <c r="C155" s="4">
        <v>46654</v>
      </c>
      <c r="D155" t="s">
        <v>315</v>
      </c>
      <c r="E155" t="s">
        <v>348</v>
      </c>
      <c r="F155" s="1">
        <v>28439</v>
      </c>
      <c r="G155" t="s">
        <v>378</v>
      </c>
      <c r="H155" t="s">
        <v>381</v>
      </c>
      <c r="I155" t="s">
        <v>387</v>
      </c>
      <c r="J155" t="s">
        <v>392</v>
      </c>
      <c r="K155" s="1">
        <v>41687</v>
      </c>
      <c r="L155" t="s">
        <v>399</v>
      </c>
      <c r="M155" t="s">
        <v>413</v>
      </c>
      <c r="N155" t="s">
        <v>428</v>
      </c>
      <c r="O155" s="2">
        <f t="shared" ca="1" si="2"/>
        <v>47</v>
      </c>
    </row>
    <row r="156" spans="1:15" x14ac:dyDescent="0.3">
      <c r="A156" t="s">
        <v>155</v>
      </c>
      <c r="B156">
        <v>10176</v>
      </c>
      <c r="C156" s="4">
        <v>63973</v>
      </c>
      <c r="D156" t="s">
        <v>315</v>
      </c>
      <c r="E156" t="s">
        <v>348</v>
      </c>
      <c r="F156" s="1">
        <v>29253</v>
      </c>
      <c r="G156" t="s">
        <v>378</v>
      </c>
      <c r="H156" t="s">
        <v>382</v>
      </c>
      <c r="I156" t="s">
        <v>387</v>
      </c>
      <c r="J156" t="s">
        <v>394</v>
      </c>
      <c r="K156" s="1">
        <v>40553</v>
      </c>
      <c r="L156" t="s">
        <v>399</v>
      </c>
      <c r="M156" t="s">
        <v>414</v>
      </c>
      <c r="N156" t="s">
        <v>429</v>
      </c>
      <c r="O156" s="2">
        <f t="shared" ca="1" si="2"/>
        <v>45</v>
      </c>
    </row>
    <row r="157" spans="1:15" x14ac:dyDescent="0.3">
      <c r="A157" t="s">
        <v>156</v>
      </c>
      <c r="B157">
        <v>10165</v>
      </c>
      <c r="C157" s="4">
        <v>71339</v>
      </c>
      <c r="D157" t="s">
        <v>326</v>
      </c>
      <c r="E157" t="s">
        <v>363</v>
      </c>
      <c r="F157" s="1">
        <v>25258</v>
      </c>
      <c r="G157" t="s">
        <v>378</v>
      </c>
      <c r="H157" t="s">
        <v>381</v>
      </c>
      <c r="I157" t="s">
        <v>387</v>
      </c>
      <c r="J157" t="s">
        <v>392</v>
      </c>
      <c r="K157" s="1">
        <v>40609</v>
      </c>
      <c r="L157" t="s">
        <v>403</v>
      </c>
      <c r="M157" t="s">
        <v>420</v>
      </c>
      <c r="N157" t="s">
        <v>432</v>
      </c>
      <c r="O157" s="2">
        <f t="shared" ca="1" si="2"/>
        <v>56</v>
      </c>
    </row>
    <row r="158" spans="1:15" x14ac:dyDescent="0.3">
      <c r="A158" t="s">
        <v>157</v>
      </c>
      <c r="B158">
        <v>10113</v>
      </c>
      <c r="C158" s="4">
        <v>93206</v>
      </c>
      <c r="D158" t="s">
        <v>330</v>
      </c>
      <c r="E158" t="s">
        <v>348</v>
      </c>
      <c r="F158" s="1">
        <v>31525</v>
      </c>
      <c r="G158" t="s">
        <v>378</v>
      </c>
      <c r="H158" t="s">
        <v>382</v>
      </c>
      <c r="I158" t="s">
        <v>387</v>
      </c>
      <c r="J158" t="s">
        <v>391</v>
      </c>
      <c r="K158" s="1">
        <v>41953</v>
      </c>
      <c r="L158" t="s">
        <v>400</v>
      </c>
      <c r="M158" t="s">
        <v>415</v>
      </c>
      <c r="N158" t="s">
        <v>431</v>
      </c>
      <c r="O158" s="2">
        <f t="shared" ca="1" si="2"/>
        <v>38</v>
      </c>
    </row>
    <row r="159" spans="1:15" x14ac:dyDescent="0.3">
      <c r="A159" t="s">
        <v>158</v>
      </c>
      <c r="B159">
        <v>10092</v>
      </c>
      <c r="C159" s="4">
        <v>82758</v>
      </c>
      <c r="D159" t="s">
        <v>324</v>
      </c>
      <c r="E159" t="s">
        <v>348</v>
      </c>
      <c r="F159" s="1">
        <v>26481</v>
      </c>
      <c r="G159" t="s">
        <v>378</v>
      </c>
      <c r="H159" t="s">
        <v>382</v>
      </c>
      <c r="I159" t="s">
        <v>387</v>
      </c>
      <c r="J159" t="s">
        <v>391</v>
      </c>
      <c r="K159" s="1">
        <v>40553</v>
      </c>
      <c r="L159" t="s">
        <v>399</v>
      </c>
      <c r="M159" t="s">
        <v>419</v>
      </c>
      <c r="N159" t="s">
        <v>431</v>
      </c>
      <c r="O159" s="2">
        <f t="shared" ca="1" si="2"/>
        <v>52</v>
      </c>
    </row>
    <row r="160" spans="1:15" x14ac:dyDescent="0.3">
      <c r="A160" t="s">
        <v>159</v>
      </c>
      <c r="B160">
        <v>10106</v>
      </c>
      <c r="C160" s="4">
        <v>66074</v>
      </c>
      <c r="D160" t="s">
        <v>317</v>
      </c>
      <c r="E160" t="s">
        <v>348</v>
      </c>
      <c r="F160" s="1">
        <v>29061</v>
      </c>
      <c r="G160" t="s">
        <v>379</v>
      </c>
      <c r="H160" t="s">
        <v>383</v>
      </c>
      <c r="I160" t="s">
        <v>387</v>
      </c>
      <c r="J160" t="s">
        <v>394</v>
      </c>
      <c r="K160" s="1">
        <v>41281</v>
      </c>
      <c r="L160" t="s">
        <v>399</v>
      </c>
      <c r="M160" t="s">
        <v>416</v>
      </c>
      <c r="N160" t="s">
        <v>429</v>
      </c>
      <c r="O160" s="2">
        <f t="shared" ca="1" si="2"/>
        <v>45</v>
      </c>
    </row>
    <row r="161" spans="1:15" x14ac:dyDescent="0.3">
      <c r="A161" t="s">
        <v>160</v>
      </c>
      <c r="B161">
        <v>10052</v>
      </c>
      <c r="C161" s="4">
        <v>46120</v>
      </c>
      <c r="D161" t="s">
        <v>315</v>
      </c>
      <c r="E161" t="s">
        <v>348</v>
      </c>
      <c r="F161" s="1">
        <v>31755</v>
      </c>
      <c r="G161" t="s">
        <v>378</v>
      </c>
      <c r="H161" t="s">
        <v>382</v>
      </c>
      <c r="I161" t="s">
        <v>387</v>
      </c>
      <c r="J161" t="s">
        <v>391</v>
      </c>
      <c r="K161" s="1">
        <v>41099</v>
      </c>
      <c r="L161" t="s">
        <v>399</v>
      </c>
      <c r="M161" t="s">
        <v>416</v>
      </c>
      <c r="N161" t="s">
        <v>428</v>
      </c>
      <c r="O161" s="2">
        <f t="shared" ca="1" si="2"/>
        <v>38</v>
      </c>
    </row>
    <row r="162" spans="1:15" x14ac:dyDescent="0.3">
      <c r="A162" t="s">
        <v>161</v>
      </c>
      <c r="B162">
        <v>10038</v>
      </c>
      <c r="C162" s="4">
        <v>64520</v>
      </c>
      <c r="D162" t="s">
        <v>325</v>
      </c>
      <c r="E162" t="s">
        <v>348</v>
      </c>
      <c r="F162" s="1">
        <v>30798</v>
      </c>
      <c r="G162" t="s">
        <v>378</v>
      </c>
      <c r="H162" t="s">
        <v>383</v>
      </c>
      <c r="I162" t="s">
        <v>387</v>
      </c>
      <c r="J162" t="s">
        <v>392</v>
      </c>
      <c r="K162" s="1">
        <v>41645</v>
      </c>
      <c r="L162" t="s">
        <v>402</v>
      </c>
      <c r="M162" t="s">
        <v>418</v>
      </c>
      <c r="N162" t="s">
        <v>435</v>
      </c>
      <c r="O162" s="2">
        <f t="shared" ca="1" si="2"/>
        <v>40</v>
      </c>
    </row>
    <row r="163" spans="1:15" x14ac:dyDescent="0.3">
      <c r="A163" t="s">
        <v>162</v>
      </c>
      <c r="B163">
        <v>10249</v>
      </c>
      <c r="C163" s="4">
        <v>61962</v>
      </c>
      <c r="D163" t="s">
        <v>317</v>
      </c>
      <c r="E163" t="s">
        <v>348</v>
      </c>
      <c r="F163" s="1">
        <v>30811</v>
      </c>
      <c r="G163" t="s">
        <v>378</v>
      </c>
      <c r="H163" t="s">
        <v>382</v>
      </c>
      <c r="I163" t="s">
        <v>387</v>
      </c>
      <c r="J163" t="s">
        <v>391</v>
      </c>
      <c r="K163" s="1">
        <v>41001</v>
      </c>
      <c r="L163" t="s">
        <v>399</v>
      </c>
      <c r="M163" t="s">
        <v>408</v>
      </c>
      <c r="N163" t="s">
        <v>430</v>
      </c>
      <c r="O163" s="2">
        <f t="shared" ca="1" si="2"/>
        <v>40</v>
      </c>
    </row>
    <row r="164" spans="1:15" x14ac:dyDescent="0.3">
      <c r="A164" t="s">
        <v>163</v>
      </c>
      <c r="B164">
        <v>10232</v>
      </c>
      <c r="C164" s="4">
        <v>81584</v>
      </c>
      <c r="D164" t="s">
        <v>339</v>
      </c>
      <c r="E164" t="s">
        <v>348</v>
      </c>
      <c r="F164" s="1">
        <v>31942</v>
      </c>
      <c r="G164" t="s">
        <v>379</v>
      </c>
      <c r="H164" t="s">
        <v>381</v>
      </c>
      <c r="I164" t="s">
        <v>387</v>
      </c>
      <c r="J164" t="s">
        <v>394</v>
      </c>
      <c r="K164" s="1">
        <v>42645</v>
      </c>
      <c r="L164" t="s">
        <v>400</v>
      </c>
      <c r="M164" t="s">
        <v>425</v>
      </c>
      <c r="N164" t="s">
        <v>429</v>
      </c>
      <c r="O164" s="2">
        <f t="shared" ca="1" si="2"/>
        <v>37</v>
      </c>
    </row>
    <row r="165" spans="1:15" x14ac:dyDescent="0.3">
      <c r="A165" t="s">
        <v>164</v>
      </c>
      <c r="B165">
        <v>10087</v>
      </c>
      <c r="C165" s="4">
        <v>63676</v>
      </c>
      <c r="D165" t="s">
        <v>315</v>
      </c>
      <c r="E165" t="s">
        <v>348</v>
      </c>
      <c r="F165" s="1">
        <v>28872</v>
      </c>
      <c r="G165" t="s">
        <v>379</v>
      </c>
      <c r="H165" t="s">
        <v>381</v>
      </c>
      <c r="I165" t="s">
        <v>387</v>
      </c>
      <c r="J165" t="s">
        <v>394</v>
      </c>
      <c r="K165" s="1">
        <v>40812</v>
      </c>
      <c r="L165" t="s">
        <v>399</v>
      </c>
      <c r="M165" t="s">
        <v>408</v>
      </c>
      <c r="N165" t="s">
        <v>434</v>
      </c>
      <c r="O165" s="2">
        <f t="shared" ca="1" si="2"/>
        <v>46</v>
      </c>
    </row>
    <row r="166" spans="1:15" x14ac:dyDescent="0.3">
      <c r="A166" t="s">
        <v>165</v>
      </c>
      <c r="B166">
        <v>10134</v>
      </c>
      <c r="C166" s="4">
        <v>93046</v>
      </c>
      <c r="D166" t="s">
        <v>340</v>
      </c>
      <c r="E166" t="s">
        <v>348</v>
      </c>
      <c r="F166" s="1">
        <v>30843</v>
      </c>
      <c r="G166" t="s">
        <v>378</v>
      </c>
      <c r="H166" t="s">
        <v>382</v>
      </c>
      <c r="I166" t="s">
        <v>387</v>
      </c>
      <c r="J166" t="s">
        <v>391</v>
      </c>
      <c r="K166" s="1">
        <v>42374</v>
      </c>
      <c r="L166" t="s">
        <v>402</v>
      </c>
      <c r="M166" t="s">
        <v>419</v>
      </c>
      <c r="N166" t="s">
        <v>434</v>
      </c>
      <c r="O166" s="2">
        <f t="shared" ca="1" si="2"/>
        <v>40</v>
      </c>
    </row>
    <row r="167" spans="1:15" x14ac:dyDescent="0.3">
      <c r="A167" t="s">
        <v>166</v>
      </c>
      <c r="B167">
        <v>10251</v>
      </c>
      <c r="C167" s="4">
        <v>64738</v>
      </c>
      <c r="D167" t="s">
        <v>315</v>
      </c>
      <c r="E167" t="s">
        <v>348</v>
      </c>
      <c r="F167" s="1">
        <v>30196</v>
      </c>
      <c r="G167" t="s">
        <v>378</v>
      </c>
      <c r="H167" t="s">
        <v>382</v>
      </c>
      <c r="I167" t="s">
        <v>387</v>
      </c>
      <c r="J167" t="s">
        <v>394</v>
      </c>
      <c r="K167" s="1">
        <v>41043</v>
      </c>
      <c r="L167" t="s">
        <v>399</v>
      </c>
      <c r="M167" t="s">
        <v>409</v>
      </c>
      <c r="N167" t="s">
        <v>430</v>
      </c>
      <c r="O167" s="2">
        <f t="shared" ca="1" si="2"/>
        <v>42</v>
      </c>
    </row>
    <row r="168" spans="1:15" x14ac:dyDescent="0.3">
      <c r="A168" t="s">
        <v>167</v>
      </c>
      <c r="B168">
        <v>10103</v>
      </c>
      <c r="C168" s="4">
        <v>70468</v>
      </c>
      <c r="D168" t="s">
        <v>326</v>
      </c>
      <c r="E168" t="s">
        <v>364</v>
      </c>
      <c r="F168" s="1">
        <v>32504</v>
      </c>
      <c r="G168" t="s">
        <v>378</v>
      </c>
      <c r="H168" t="s">
        <v>385</v>
      </c>
      <c r="I168" t="s">
        <v>387</v>
      </c>
      <c r="J168" t="s">
        <v>392</v>
      </c>
      <c r="K168" s="1">
        <v>41029</v>
      </c>
      <c r="L168" t="s">
        <v>403</v>
      </c>
      <c r="M168" t="s">
        <v>420</v>
      </c>
      <c r="N168" t="s">
        <v>435</v>
      </c>
      <c r="O168" s="2">
        <f t="shared" ca="1" si="2"/>
        <v>36</v>
      </c>
    </row>
    <row r="169" spans="1:15" x14ac:dyDescent="0.3">
      <c r="A169" t="s">
        <v>168</v>
      </c>
      <c r="B169">
        <v>10017</v>
      </c>
      <c r="C169" s="4">
        <v>77915</v>
      </c>
      <c r="D169" t="s">
        <v>324</v>
      </c>
      <c r="E169" t="s">
        <v>348</v>
      </c>
      <c r="F169" s="1">
        <v>29885</v>
      </c>
      <c r="G169" t="s">
        <v>379</v>
      </c>
      <c r="H169" t="s">
        <v>382</v>
      </c>
      <c r="I169" t="s">
        <v>387</v>
      </c>
      <c r="J169" t="s">
        <v>391</v>
      </c>
      <c r="K169" s="1">
        <v>41547</v>
      </c>
      <c r="L169" t="s">
        <v>399</v>
      </c>
      <c r="M169" t="s">
        <v>419</v>
      </c>
      <c r="N169" t="s">
        <v>435</v>
      </c>
      <c r="O169" s="2">
        <f t="shared" ca="1" si="2"/>
        <v>43</v>
      </c>
    </row>
    <row r="170" spans="1:15" x14ac:dyDescent="0.3">
      <c r="A170" t="s">
        <v>169</v>
      </c>
      <c r="B170">
        <v>10186</v>
      </c>
      <c r="C170" s="4">
        <v>52624</v>
      </c>
      <c r="D170" t="s">
        <v>315</v>
      </c>
      <c r="E170" t="s">
        <v>348</v>
      </c>
      <c r="F170" s="1">
        <v>29671</v>
      </c>
      <c r="G170" t="s">
        <v>379</v>
      </c>
      <c r="H170" t="s">
        <v>382</v>
      </c>
      <c r="I170" t="s">
        <v>387</v>
      </c>
      <c r="J170" t="s">
        <v>391</v>
      </c>
      <c r="K170" s="1">
        <v>40729</v>
      </c>
      <c r="L170" t="s">
        <v>399</v>
      </c>
      <c r="M170" t="s">
        <v>406</v>
      </c>
      <c r="N170" t="s">
        <v>429</v>
      </c>
      <c r="O170" s="2">
        <f t="shared" ca="1" si="2"/>
        <v>44</v>
      </c>
    </row>
    <row r="171" spans="1:15" x14ac:dyDescent="0.3">
      <c r="A171" t="s">
        <v>170</v>
      </c>
      <c r="B171">
        <v>10137</v>
      </c>
      <c r="C171" s="4">
        <v>63450</v>
      </c>
      <c r="D171" t="s">
        <v>317</v>
      </c>
      <c r="E171" t="s">
        <v>348</v>
      </c>
      <c r="F171" s="1">
        <v>28933</v>
      </c>
      <c r="G171" t="s">
        <v>378</v>
      </c>
      <c r="H171" t="s">
        <v>382</v>
      </c>
      <c r="I171" t="s">
        <v>387</v>
      </c>
      <c r="J171" t="s">
        <v>391</v>
      </c>
      <c r="K171" s="1">
        <v>41463</v>
      </c>
      <c r="L171" t="s">
        <v>399</v>
      </c>
      <c r="M171" t="s">
        <v>417</v>
      </c>
      <c r="N171" t="s">
        <v>428</v>
      </c>
      <c r="O171" s="2">
        <f t="shared" ca="1" si="2"/>
        <v>46</v>
      </c>
    </row>
    <row r="172" spans="1:15" x14ac:dyDescent="0.3">
      <c r="A172" t="s">
        <v>171</v>
      </c>
      <c r="B172">
        <v>10008</v>
      </c>
      <c r="C172" s="4">
        <v>51777</v>
      </c>
      <c r="D172" t="s">
        <v>319</v>
      </c>
      <c r="E172" t="s">
        <v>350</v>
      </c>
      <c r="F172" s="1">
        <v>32421</v>
      </c>
      <c r="G172" t="s">
        <v>379</v>
      </c>
      <c r="H172" t="s">
        <v>381</v>
      </c>
      <c r="I172" t="s">
        <v>387</v>
      </c>
      <c r="J172" t="s">
        <v>392</v>
      </c>
      <c r="K172" s="1">
        <v>40564</v>
      </c>
      <c r="L172" t="s">
        <v>400</v>
      </c>
      <c r="M172" t="s">
        <v>423</v>
      </c>
      <c r="N172" t="s">
        <v>432</v>
      </c>
      <c r="O172" s="2">
        <f t="shared" ca="1" si="2"/>
        <v>36</v>
      </c>
    </row>
    <row r="173" spans="1:15" x14ac:dyDescent="0.3">
      <c r="A173" t="s">
        <v>172</v>
      </c>
      <c r="B173">
        <v>10096</v>
      </c>
      <c r="C173" s="4">
        <v>67237</v>
      </c>
      <c r="D173" t="s">
        <v>317</v>
      </c>
      <c r="E173" t="s">
        <v>348</v>
      </c>
      <c r="F173" s="1">
        <v>28120</v>
      </c>
      <c r="G173" t="s">
        <v>379</v>
      </c>
      <c r="H173" t="s">
        <v>384</v>
      </c>
      <c r="I173" t="s">
        <v>387</v>
      </c>
      <c r="J173" t="s">
        <v>391</v>
      </c>
      <c r="K173" s="1">
        <v>41463</v>
      </c>
      <c r="L173" t="s">
        <v>399</v>
      </c>
      <c r="M173" t="s">
        <v>406</v>
      </c>
      <c r="N173" t="s">
        <v>428</v>
      </c>
      <c r="O173" s="2">
        <f t="shared" ca="1" si="2"/>
        <v>48</v>
      </c>
    </row>
    <row r="174" spans="1:15" x14ac:dyDescent="0.3">
      <c r="A174" t="s">
        <v>173</v>
      </c>
      <c r="B174">
        <v>10035</v>
      </c>
      <c r="C174" s="4">
        <v>73330</v>
      </c>
      <c r="D174" t="s">
        <v>317</v>
      </c>
      <c r="E174" t="s">
        <v>348</v>
      </c>
      <c r="F174" s="1">
        <v>30038</v>
      </c>
      <c r="G174" t="s">
        <v>379</v>
      </c>
      <c r="H174" t="s">
        <v>381</v>
      </c>
      <c r="I174" t="s">
        <v>387</v>
      </c>
      <c r="J174" t="s">
        <v>392</v>
      </c>
      <c r="K174" s="1">
        <v>41505</v>
      </c>
      <c r="L174" t="s">
        <v>399</v>
      </c>
      <c r="M174" t="s">
        <v>409</v>
      </c>
      <c r="N174" t="s">
        <v>429</v>
      </c>
      <c r="O174" s="2">
        <f t="shared" ca="1" si="2"/>
        <v>43</v>
      </c>
    </row>
    <row r="175" spans="1:15" x14ac:dyDescent="0.3">
      <c r="A175" t="s">
        <v>174</v>
      </c>
      <c r="B175">
        <v>10057</v>
      </c>
      <c r="C175" s="4">
        <v>52057</v>
      </c>
      <c r="D175" t="s">
        <v>315</v>
      </c>
      <c r="E175" t="s">
        <v>348</v>
      </c>
      <c r="F175" s="1">
        <v>27689</v>
      </c>
      <c r="G175" t="s">
        <v>379</v>
      </c>
      <c r="H175" t="s">
        <v>382</v>
      </c>
      <c r="I175" t="s">
        <v>387</v>
      </c>
      <c r="J175" t="s">
        <v>392</v>
      </c>
      <c r="K175" s="1">
        <v>42051</v>
      </c>
      <c r="L175" t="s">
        <v>399</v>
      </c>
      <c r="M175" t="s">
        <v>409</v>
      </c>
      <c r="N175" t="s">
        <v>435</v>
      </c>
      <c r="O175" s="2">
        <f t="shared" ca="1" si="2"/>
        <v>49</v>
      </c>
    </row>
    <row r="176" spans="1:15" x14ac:dyDescent="0.3">
      <c r="A176" t="s">
        <v>175</v>
      </c>
      <c r="B176">
        <v>10004</v>
      </c>
      <c r="C176" s="4">
        <v>47434</v>
      </c>
      <c r="D176" t="s">
        <v>315</v>
      </c>
      <c r="E176" t="s">
        <v>348</v>
      </c>
      <c r="F176" s="1">
        <v>26709</v>
      </c>
      <c r="G176" t="s">
        <v>379</v>
      </c>
      <c r="H176" t="s">
        <v>381</v>
      </c>
      <c r="I176" t="s">
        <v>387</v>
      </c>
      <c r="J176" t="s">
        <v>392</v>
      </c>
      <c r="K176" s="1">
        <v>40854</v>
      </c>
      <c r="L176" t="s">
        <v>399</v>
      </c>
      <c r="M176" t="s">
        <v>410</v>
      </c>
      <c r="N176" t="s">
        <v>432</v>
      </c>
      <c r="O176" s="2">
        <f t="shared" ca="1" si="2"/>
        <v>52</v>
      </c>
    </row>
    <row r="177" spans="1:15" x14ac:dyDescent="0.3">
      <c r="A177" t="s">
        <v>176</v>
      </c>
      <c r="B177">
        <v>10191</v>
      </c>
      <c r="C177" s="4">
        <v>52788</v>
      </c>
      <c r="D177" t="s">
        <v>315</v>
      </c>
      <c r="E177" t="s">
        <v>348</v>
      </c>
      <c r="F177" s="1">
        <v>26612</v>
      </c>
      <c r="G177" t="s">
        <v>378</v>
      </c>
      <c r="H177" t="s">
        <v>384</v>
      </c>
      <c r="I177" t="s">
        <v>387</v>
      </c>
      <c r="J177" t="s">
        <v>391</v>
      </c>
      <c r="K177" s="1">
        <v>41176</v>
      </c>
      <c r="L177" t="s">
        <v>399</v>
      </c>
      <c r="M177" t="s">
        <v>411</v>
      </c>
      <c r="N177" t="s">
        <v>429</v>
      </c>
      <c r="O177" s="2">
        <f t="shared" ca="1" si="2"/>
        <v>52</v>
      </c>
    </row>
    <row r="178" spans="1:15" x14ac:dyDescent="0.3">
      <c r="A178" t="s">
        <v>177</v>
      </c>
      <c r="B178">
        <v>10219</v>
      </c>
      <c r="C178" s="4">
        <v>45395</v>
      </c>
      <c r="D178" t="s">
        <v>315</v>
      </c>
      <c r="E178" t="s">
        <v>348</v>
      </c>
      <c r="F178" s="1">
        <v>31600</v>
      </c>
      <c r="G178" t="s">
        <v>379</v>
      </c>
      <c r="H178" t="s">
        <v>381</v>
      </c>
      <c r="I178" t="s">
        <v>387</v>
      </c>
      <c r="J178" t="s">
        <v>391</v>
      </c>
      <c r="K178" s="1">
        <v>41645</v>
      </c>
      <c r="L178" t="s">
        <v>399</v>
      </c>
      <c r="M178" t="s">
        <v>413</v>
      </c>
      <c r="N178" t="s">
        <v>428</v>
      </c>
      <c r="O178" s="2">
        <f t="shared" ca="1" si="2"/>
        <v>38</v>
      </c>
    </row>
    <row r="179" spans="1:15" x14ac:dyDescent="0.3">
      <c r="A179" t="s">
        <v>178</v>
      </c>
      <c r="B179">
        <v>10077</v>
      </c>
      <c r="C179" s="4">
        <v>62385</v>
      </c>
      <c r="D179" t="s">
        <v>317</v>
      </c>
      <c r="E179" t="s">
        <v>348</v>
      </c>
      <c r="F179" s="1">
        <v>27997</v>
      </c>
      <c r="G179" t="s">
        <v>379</v>
      </c>
      <c r="H179" t="s">
        <v>382</v>
      </c>
      <c r="I179" t="s">
        <v>387</v>
      </c>
      <c r="J179" t="s">
        <v>391</v>
      </c>
      <c r="K179" s="1">
        <v>42501</v>
      </c>
      <c r="L179" t="s">
        <v>399</v>
      </c>
      <c r="M179" t="s">
        <v>410</v>
      </c>
      <c r="N179" t="s">
        <v>428</v>
      </c>
      <c r="O179" s="2">
        <f t="shared" ca="1" si="2"/>
        <v>48</v>
      </c>
    </row>
    <row r="180" spans="1:15" x14ac:dyDescent="0.3">
      <c r="A180" t="s">
        <v>179</v>
      </c>
      <c r="B180">
        <v>10073</v>
      </c>
      <c r="C180" s="4">
        <v>68407</v>
      </c>
      <c r="D180" t="s">
        <v>317</v>
      </c>
      <c r="E180" t="s">
        <v>348</v>
      </c>
      <c r="F180" s="1">
        <v>31756</v>
      </c>
      <c r="G180" t="s">
        <v>379</v>
      </c>
      <c r="H180" t="s">
        <v>382</v>
      </c>
      <c r="I180" t="s">
        <v>387</v>
      </c>
      <c r="J180" t="s">
        <v>393</v>
      </c>
      <c r="K180" s="1">
        <v>40729</v>
      </c>
      <c r="L180" t="s">
        <v>399</v>
      </c>
      <c r="M180" t="s">
        <v>411</v>
      </c>
      <c r="N180" t="s">
        <v>428</v>
      </c>
      <c r="O180" s="2">
        <f t="shared" ca="1" si="2"/>
        <v>38</v>
      </c>
    </row>
    <row r="181" spans="1:15" x14ac:dyDescent="0.3">
      <c r="A181" t="s">
        <v>180</v>
      </c>
      <c r="B181">
        <v>10279</v>
      </c>
      <c r="C181" s="4">
        <v>61349</v>
      </c>
      <c r="D181" t="s">
        <v>315</v>
      </c>
      <c r="E181" t="s">
        <v>348</v>
      </c>
      <c r="F181" s="1">
        <v>27340</v>
      </c>
      <c r="G181" t="s">
        <v>379</v>
      </c>
      <c r="H181" t="s">
        <v>382</v>
      </c>
      <c r="I181" t="s">
        <v>387</v>
      </c>
      <c r="J181" t="s">
        <v>391</v>
      </c>
      <c r="K181" s="1">
        <v>41589</v>
      </c>
      <c r="L181" t="s">
        <v>399</v>
      </c>
      <c r="M181" t="s">
        <v>414</v>
      </c>
      <c r="N181" t="s">
        <v>428</v>
      </c>
      <c r="O181" s="2">
        <f t="shared" ca="1" si="2"/>
        <v>50</v>
      </c>
    </row>
    <row r="182" spans="1:15" x14ac:dyDescent="0.3">
      <c r="A182" t="s">
        <v>181</v>
      </c>
      <c r="B182">
        <v>10110</v>
      </c>
      <c r="C182" s="4">
        <v>105688</v>
      </c>
      <c r="D182" t="s">
        <v>318</v>
      </c>
      <c r="E182" t="s">
        <v>348</v>
      </c>
      <c r="F182" s="1">
        <v>32088</v>
      </c>
      <c r="G182" t="s">
        <v>379</v>
      </c>
      <c r="H182" t="s">
        <v>381</v>
      </c>
      <c r="I182" t="s">
        <v>387</v>
      </c>
      <c r="J182" t="s">
        <v>394</v>
      </c>
      <c r="K182" s="1">
        <v>41589</v>
      </c>
      <c r="L182" t="s">
        <v>401</v>
      </c>
      <c r="M182" t="s">
        <v>412</v>
      </c>
      <c r="N182" t="s">
        <v>430</v>
      </c>
      <c r="O182" s="2">
        <f t="shared" ca="1" si="2"/>
        <v>37</v>
      </c>
    </row>
    <row r="183" spans="1:15" x14ac:dyDescent="0.3">
      <c r="A183" t="s">
        <v>182</v>
      </c>
      <c r="B183">
        <v>10053</v>
      </c>
      <c r="C183" s="4">
        <v>54132</v>
      </c>
      <c r="D183" t="s">
        <v>315</v>
      </c>
      <c r="E183" t="s">
        <v>348</v>
      </c>
      <c r="F183" s="1">
        <v>28451</v>
      </c>
      <c r="G183" t="s">
        <v>379</v>
      </c>
      <c r="H183" t="s">
        <v>382</v>
      </c>
      <c r="I183" t="s">
        <v>387</v>
      </c>
      <c r="J183" t="s">
        <v>391</v>
      </c>
      <c r="K183" s="1">
        <v>40694</v>
      </c>
      <c r="L183" t="s">
        <v>399</v>
      </c>
      <c r="M183" t="s">
        <v>416</v>
      </c>
      <c r="N183" t="s">
        <v>429</v>
      </c>
      <c r="O183" s="2">
        <f t="shared" ca="1" si="2"/>
        <v>47</v>
      </c>
    </row>
    <row r="184" spans="1:15" x14ac:dyDescent="0.3">
      <c r="A184" t="s">
        <v>183</v>
      </c>
      <c r="B184">
        <v>10076</v>
      </c>
      <c r="C184" s="4">
        <v>55315</v>
      </c>
      <c r="D184" t="s">
        <v>317</v>
      </c>
      <c r="E184" t="s">
        <v>348</v>
      </c>
      <c r="F184" s="1">
        <v>31918</v>
      </c>
      <c r="G184" t="s">
        <v>379</v>
      </c>
      <c r="H184" t="s">
        <v>381</v>
      </c>
      <c r="I184" t="s">
        <v>387</v>
      </c>
      <c r="J184" t="s">
        <v>392</v>
      </c>
      <c r="K184" s="1">
        <v>42093</v>
      </c>
      <c r="L184" t="s">
        <v>399</v>
      </c>
      <c r="M184" t="s">
        <v>413</v>
      </c>
      <c r="N184" t="s">
        <v>428</v>
      </c>
      <c r="O184" s="2">
        <f t="shared" ca="1" si="2"/>
        <v>37</v>
      </c>
    </row>
    <row r="185" spans="1:15" x14ac:dyDescent="0.3">
      <c r="A185" t="s">
        <v>184</v>
      </c>
      <c r="B185">
        <v>10145</v>
      </c>
      <c r="C185" s="4">
        <v>62810</v>
      </c>
      <c r="D185" t="s">
        <v>315</v>
      </c>
      <c r="E185" t="s">
        <v>348</v>
      </c>
      <c r="F185" s="1">
        <v>31784</v>
      </c>
      <c r="G185" t="s">
        <v>379</v>
      </c>
      <c r="H185" t="s">
        <v>382</v>
      </c>
      <c r="I185" t="s">
        <v>387</v>
      </c>
      <c r="J185" t="s">
        <v>392</v>
      </c>
      <c r="K185" s="1">
        <v>41281</v>
      </c>
      <c r="L185" t="s">
        <v>399</v>
      </c>
      <c r="M185" t="s">
        <v>408</v>
      </c>
      <c r="N185" t="s">
        <v>434</v>
      </c>
      <c r="O185" s="2">
        <f t="shared" ca="1" si="2"/>
        <v>38</v>
      </c>
    </row>
    <row r="186" spans="1:15" x14ac:dyDescent="0.3">
      <c r="A186" t="s">
        <v>185</v>
      </c>
      <c r="B186">
        <v>10202</v>
      </c>
      <c r="C186" s="4">
        <v>63291</v>
      </c>
      <c r="D186" t="s">
        <v>326</v>
      </c>
      <c r="E186" t="s">
        <v>349</v>
      </c>
      <c r="F186" s="1">
        <v>30864</v>
      </c>
      <c r="G186" t="s">
        <v>378</v>
      </c>
      <c r="H186" t="s">
        <v>382</v>
      </c>
      <c r="I186" t="s">
        <v>387</v>
      </c>
      <c r="J186" t="s">
        <v>393</v>
      </c>
      <c r="K186" s="1">
        <v>42557</v>
      </c>
      <c r="L186" t="s">
        <v>403</v>
      </c>
      <c r="M186" t="s">
        <v>422</v>
      </c>
      <c r="N186" t="s">
        <v>435</v>
      </c>
      <c r="O186" s="2">
        <f t="shared" ca="1" si="2"/>
        <v>40</v>
      </c>
    </row>
    <row r="187" spans="1:15" x14ac:dyDescent="0.3">
      <c r="A187" t="s">
        <v>186</v>
      </c>
      <c r="B187">
        <v>10128</v>
      </c>
      <c r="C187" s="4">
        <v>62659</v>
      </c>
      <c r="D187" t="s">
        <v>315</v>
      </c>
      <c r="E187" t="s">
        <v>348</v>
      </c>
      <c r="F187" s="1">
        <v>24988</v>
      </c>
      <c r="G187" t="s">
        <v>379</v>
      </c>
      <c r="H187" t="s">
        <v>381</v>
      </c>
      <c r="I187" t="s">
        <v>387</v>
      </c>
      <c r="J187" t="s">
        <v>392</v>
      </c>
      <c r="K187" s="1">
        <v>41001</v>
      </c>
      <c r="L187" t="s">
        <v>399</v>
      </c>
      <c r="M187" t="s">
        <v>417</v>
      </c>
      <c r="N187" t="s">
        <v>432</v>
      </c>
      <c r="O187" s="2">
        <f t="shared" ca="1" si="2"/>
        <v>56</v>
      </c>
    </row>
    <row r="188" spans="1:15" x14ac:dyDescent="0.3">
      <c r="A188" t="s">
        <v>187</v>
      </c>
      <c r="B188">
        <v>10068</v>
      </c>
      <c r="C188" s="4">
        <v>55688</v>
      </c>
      <c r="D188" t="s">
        <v>315</v>
      </c>
      <c r="E188" t="s">
        <v>348</v>
      </c>
      <c r="F188" s="1">
        <v>28025</v>
      </c>
      <c r="G188" t="s">
        <v>379</v>
      </c>
      <c r="H188" t="s">
        <v>381</v>
      </c>
      <c r="I188" t="s">
        <v>387</v>
      </c>
      <c r="J188" t="s">
        <v>391</v>
      </c>
      <c r="K188" s="1">
        <v>42093</v>
      </c>
      <c r="L188" t="s">
        <v>399</v>
      </c>
      <c r="M188" t="s">
        <v>406</v>
      </c>
      <c r="N188" t="s">
        <v>434</v>
      </c>
      <c r="O188" s="2">
        <f t="shared" ca="1" si="2"/>
        <v>48</v>
      </c>
    </row>
    <row r="189" spans="1:15" x14ac:dyDescent="0.3">
      <c r="A189" t="s">
        <v>188</v>
      </c>
      <c r="B189">
        <v>10116</v>
      </c>
      <c r="C189" s="4">
        <v>83667</v>
      </c>
      <c r="D189" t="s">
        <v>324</v>
      </c>
      <c r="E189" t="s">
        <v>348</v>
      </c>
      <c r="F189" s="1">
        <v>29808</v>
      </c>
      <c r="G189" t="s">
        <v>378</v>
      </c>
      <c r="H189" t="s">
        <v>381</v>
      </c>
      <c r="I189" t="s">
        <v>387</v>
      </c>
      <c r="J189" t="s">
        <v>396</v>
      </c>
      <c r="K189" s="1">
        <v>41137</v>
      </c>
      <c r="L189" t="s">
        <v>399</v>
      </c>
      <c r="M189" t="s">
        <v>419</v>
      </c>
      <c r="N189" t="s">
        <v>429</v>
      </c>
      <c r="O189" s="2">
        <f t="shared" ca="1" si="2"/>
        <v>43</v>
      </c>
    </row>
    <row r="190" spans="1:15" x14ac:dyDescent="0.3">
      <c r="A190" t="s">
        <v>189</v>
      </c>
      <c r="B190">
        <v>10298</v>
      </c>
      <c r="C190" s="4">
        <v>55800</v>
      </c>
      <c r="D190" t="s">
        <v>317</v>
      </c>
      <c r="E190" t="s">
        <v>348</v>
      </c>
      <c r="F190" s="1">
        <v>31227</v>
      </c>
      <c r="G190" t="s">
        <v>378</v>
      </c>
      <c r="H190" t="s">
        <v>381</v>
      </c>
      <c r="I190" t="s">
        <v>387</v>
      </c>
      <c r="J190" t="s">
        <v>391</v>
      </c>
      <c r="K190" s="1">
        <v>40770</v>
      </c>
      <c r="L190" t="s">
        <v>399</v>
      </c>
      <c r="M190" t="s">
        <v>414</v>
      </c>
      <c r="N190" t="s">
        <v>428</v>
      </c>
      <c r="O190" s="2">
        <f t="shared" ca="1" si="2"/>
        <v>39</v>
      </c>
    </row>
    <row r="191" spans="1:15" x14ac:dyDescent="0.3">
      <c r="A191" t="s">
        <v>190</v>
      </c>
      <c r="B191">
        <v>10213</v>
      </c>
      <c r="C191" s="4">
        <v>58207</v>
      </c>
      <c r="D191" t="s">
        <v>317</v>
      </c>
      <c r="E191" t="s">
        <v>348</v>
      </c>
      <c r="F191" s="1">
        <v>33833</v>
      </c>
      <c r="G191" t="s">
        <v>378</v>
      </c>
      <c r="H191" t="s">
        <v>382</v>
      </c>
      <c r="I191" t="s">
        <v>387</v>
      </c>
      <c r="J191" t="s">
        <v>391</v>
      </c>
      <c r="K191" s="1">
        <v>40854</v>
      </c>
      <c r="L191" t="s">
        <v>399</v>
      </c>
      <c r="M191" t="s">
        <v>416</v>
      </c>
      <c r="N191" t="s">
        <v>428</v>
      </c>
      <c r="O191" s="2">
        <f t="shared" ca="1" si="2"/>
        <v>32</v>
      </c>
    </row>
    <row r="192" spans="1:15" x14ac:dyDescent="0.3">
      <c r="A192" t="s">
        <v>191</v>
      </c>
      <c r="B192">
        <v>10288</v>
      </c>
      <c r="C192" s="4">
        <v>157000</v>
      </c>
      <c r="D192" t="s">
        <v>341</v>
      </c>
      <c r="E192" t="s">
        <v>348</v>
      </c>
      <c r="F192" s="1">
        <v>31690</v>
      </c>
      <c r="G192" t="s">
        <v>378</v>
      </c>
      <c r="H192" t="s">
        <v>382</v>
      </c>
      <c r="I192" t="s">
        <v>388</v>
      </c>
      <c r="J192" t="s">
        <v>392</v>
      </c>
      <c r="K192" s="1">
        <v>40954</v>
      </c>
      <c r="L192" t="s">
        <v>400</v>
      </c>
      <c r="M192" t="s">
        <v>421</v>
      </c>
      <c r="N192" t="s">
        <v>432</v>
      </c>
      <c r="O192" s="2">
        <f t="shared" ca="1" si="2"/>
        <v>38</v>
      </c>
    </row>
    <row r="193" spans="1:15" x14ac:dyDescent="0.3">
      <c r="A193" t="s">
        <v>192</v>
      </c>
      <c r="B193">
        <v>10025</v>
      </c>
      <c r="C193" s="4">
        <v>72460</v>
      </c>
      <c r="D193" t="s">
        <v>317</v>
      </c>
      <c r="E193" t="s">
        <v>348</v>
      </c>
      <c r="F193" s="1">
        <v>25682</v>
      </c>
      <c r="G193" t="s">
        <v>379</v>
      </c>
      <c r="H193" t="s">
        <v>381</v>
      </c>
      <c r="I193" t="s">
        <v>387</v>
      </c>
      <c r="J193" t="s">
        <v>392</v>
      </c>
      <c r="K193" s="1">
        <v>41407</v>
      </c>
      <c r="L193" t="s">
        <v>399</v>
      </c>
      <c r="M193" t="s">
        <v>408</v>
      </c>
      <c r="N193" t="s">
        <v>429</v>
      </c>
      <c r="O193" s="2">
        <f t="shared" ca="1" si="2"/>
        <v>54</v>
      </c>
    </row>
    <row r="194" spans="1:15" x14ac:dyDescent="0.3">
      <c r="A194" t="s">
        <v>193</v>
      </c>
      <c r="B194">
        <v>10223</v>
      </c>
      <c r="C194" s="4">
        <v>72106</v>
      </c>
      <c r="D194" t="s">
        <v>317</v>
      </c>
      <c r="E194" t="s">
        <v>348</v>
      </c>
      <c r="F194" s="1">
        <v>28097</v>
      </c>
      <c r="G194" t="s">
        <v>378</v>
      </c>
      <c r="H194" t="s">
        <v>381</v>
      </c>
      <c r="I194" t="s">
        <v>387</v>
      </c>
      <c r="J194" t="s">
        <v>392</v>
      </c>
      <c r="K194" s="1">
        <v>40917</v>
      </c>
      <c r="L194" t="s">
        <v>399</v>
      </c>
      <c r="M194" t="s">
        <v>417</v>
      </c>
      <c r="N194" t="s">
        <v>432</v>
      </c>
      <c r="O194" s="2">
        <f t="shared" ca="1" si="2"/>
        <v>48</v>
      </c>
    </row>
    <row r="195" spans="1:15" x14ac:dyDescent="0.3">
      <c r="A195" t="s">
        <v>194</v>
      </c>
      <c r="B195">
        <v>10151</v>
      </c>
      <c r="C195" s="4">
        <v>52599</v>
      </c>
      <c r="D195" t="s">
        <v>334</v>
      </c>
      <c r="E195" t="s">
        <v>348</v>
      </c>
      <c r="F195" s="1">
        <v>28949</v>
      </c>
      <c r="G195" t="s">
        <v>379</v>
      </c>
      <c r="H195" t="s">
        <v>382</v>
      </c>
      <c r="I195" t="s">
        <v>387</v>
      </c>
      <c r="J195" t="s">
        <v>391</v>
      </c>
      <c r="K195" s="1">
        <v>42051</v>
      </c>
      <c r="L195" t="s">
        <v>400</v>
      </c>
      <c r="M195" t="s">
        <v>415</v>
      </c>
      <c r="N195" t="s">
        <v>434</v>
      </c>
      <c r="O195" s="2">
        <f t="shared" ref="O195:O258" ca="1" si="3">INT(YEARFRAC(F195,TODAY(),1))</f>
        <v>45</v>
      </c>
    </row>
    <row r="196" spans="1:15" x14ac:dyDescent="0.3">
      <c r="A196" t="s">
        <v>195</v>
      </c>
      <c r="B196">
        <v>10254</v>
      </c>
      <c r="C196" s="4">
        <v>63430</v>
      </c>
      <c r="D196" t="s">
        <v>315</v>
      </c>
      <c r="E196" t="s">
        <v>348</v>
      </c>
      <c r="F196" s="1">
        <v>30870</v>
      </c>
      <c r="G196" t="s">
        <v>379</v>
      </c>
      <c r="H196" t="s">
        <v>383</v>
      </c>
      <c r="I196" t="s">
        <v>387</v>
      </c>
      <c r="J196" t="s">
        <v>391</v>
      </c>
      <c r="K196" s="1">
        <v>41365</v>
      </c>
      <c r="L196" t="s">
        <v>399</v>
      </c>
      <c r="M196" t="s">
        <v>409</v>
      </c>
      <c r="N196" t="s">
        <v>428</v>
      </c>
      <c r="O196" s="2">
        <f t="shared" ca="1" si="3"/>
        <v>40</v>
      </c>
    </row>
    <row r="197" spans="1:15" x14ac:dyDescent="0.3">
      <c r="A197" t="s">
        <v>196</v>
      </c>
      <c r="B197">
        <v>10120</v>
      </c>
      <c r="C197" s="4">
        <v>74417</v>
      </c>
      <c r="D197" t="s">
        <v>317</v>
      </c>
      <c r="E197" t="s">
        <v>348</v>
      </c>
      <c r="F197" s="1">
        <v>27364</v>
      </c>
      <c r="G197" t="s">
        <v>378</v>
      </c>
      <c r="H197" t="s">
        <v>385</v>
      </c>
      <c r="I197" t="s">
        <v>387</v>
      </c>
      <c r="J197" t="s">
        <v>392</v>
      </c>
      <c r="K197" s="1">
        <v>41407</v>
      </c>
      <c r="L197" t="s">
        <v>399</v>
      </c>
      <c r="M197" t="s">
        <v>406</v>
      </c>
      <c r="N197" t="s">
        <v>428</v>
      </c>
      <c r="O197" s="2">
        <f t="shared" ca="1" si="3"/>
        <v>50</v>
      </c>
    </row>
    <row r="198" spans="1:15" x14ac:dyDescent="0.3">
      <c r="A198" t="s">
        <v>197</v>
      </c>
      <c r="B198">
        <v>10216</v>
      </c>
      <c r="C198" s="4">
        <v>57575</v>
      </c>
      <c r="D198" t="s">
        <v>315</v>
      </c>
      <c r="E198" t="s">
        <v>348</v>
      </c>
      <c r="F198" s="1">
        <v>29329</v>
      </c>
      <c r="G198" t="s">
        <v>378</v>
      </c>
      <c r="H198" t="s">
        <v>381</v>
      </c>
      <c r="I198" t="s">
        <v>387</v>
      </c>
      <c r="J198" t="s">
        <v>394</v>
      </c>
      <c r="K198" s="1">
        <v>41463</v>
      </c>
      <c r="L198" t="s">
        <v>399</v>
      </c>
      <c r="M198" t="s">
        <v>408</v>
      </c>
      <c r="N198" t="s">
        <v>428</v>
      </c>
      <c r="O198" s="2">
        <f t="shared" ca="1" si="3"/>
        <v>44</v>
      </c>
    </row>
    <row r="199" spans="1:15" x14ac:dyDescent="0.3">
      <c r="A199" t="s">
        <v>198</v>
      </c>
      <c r="B199">
        <v>10079</v>
      </c>
      <c r="C199" s="4">
        <v>87921</v>
      </c>
      <c r="D199" t="s">
        <v>339</v>
      </c>
      <c r="E199" t="s">
        <v>348</v>
      </c>
      <c r="F199" s="1">
        <v>25683</v>
      </c>
      <c r="G199" t="s">
        <v>378</v>
      </c>
      <c r="H199" t="s">
        <v>381</v>
      </c>
      <c r="I199" t="s">
        <v>387</v>
      </c>
      <c r="J199" t="s">
        <v>394</v>
      </c>
      <c r="K199" s="1">
        <v>42776</v>
      </c>
      <c r="L199" t="s">
        <v>400</v>
      </c>
      <c r="M199" t="s">
        <v>425</v>
      </c>
      <c r="N199" t="s">
        <v>429</v>
      </c>
      <c r="O199" s="2">
        <f t="shared" ca="1" si="3"/>
        <v>54</v>
      </c>
    </row>
    <row r="200" spans="1:15" x14ac:dyDescent="0.3">
      <c r="A200" t="s">
        <v>199</v>
      </c>
      <c r="B200">
        <v>10215</v>
      </c>
      <c r="C200" s="4">
        <v>50470</v>
      </c>
      <c r="D200" t="s">
        <v>315</v>
      </c>
      <c r="E200" t="s">
        <v>348</v>
      </c>
      <c r="F200" s="1">
        <v>32630</v>
      </c>
      <c r="G200" t="s">
        <v>378</v>
      </c>
      <c r="H200" t="s">
        <v>381</v>
      </c>
      <c r="I200" t="s">
        <v>387</v>
      </c>
      <c r="J200" t="s">
        <v>392</v>
      </c>
      <c r="K200" s="1">
        <v>40812</v>
      </c>
      <c r="L200" t="s">
        <v>399</v>
      </c>
      <c r="M200" t="s">
        <v>410</v>
      </c>
      <c r="N200" t="s">
        <v>432</v>
      </c>
      <c r="O200" s="2">
        <f t="shared" ca="1" si="3"/>
        <v>35</v>
      </c>
    </row>
    <row r="201" spans="1:15" x14ac:dyDescent="0.3">
      <c r="A201" t="s">
        <v>200</v>
      </c>
      <c r="B201">
        <v>10185</v>
      </c>
      <c r="C201" s="4">
        <v>46664</v>
      </c>
      <c r="D201" t="s">
        <v>315</v>
      </c>
      <c r="E201" t="s">
        <v>348</v>
      </c>
      <c r="F201" s="1">
        <v>30403</v>
      </c>
      <c r="G201" t="s">
        <v>378</v>
      </c>
      <c r="H201" t="s">
        <v>382</v>
      </c>
      <c r="I201" t="s">
        <v>387</v>
      </c>
      <c r="J201" t="s">
        <v>391</v>
      </c>
      <c r="K201" s="1">
        <v>41365</v>
      </c>
      <c r="L201" t="s">
        <v>399</v>
      </c>
      <c r="M201" t="s">
        <v>411</v>
      </c>
      <c r="N201" t="s">
        <v>431</v>
      </c>
      <c r="O201" s="2">
        <f t="shared" ca="1" si="3"/>
        <v>42</v>
      </c>
    </row>
    <row r="202" spans="1:15" x14ac:dyDescent="0.3">
      <c r="A202" t="s">
        <v>201</v>
      </c>
      <c r="B202">
        <v>10063</v>
      </c>
      <c r="C202" s="4">
        <v>48495</v>
      </c>
      <c r="D202" t="s">
        <v>315</v>
      </c>
      <c r="E202" t="s">
        <v>348</v>
      </c>
      <c r="F202" s="1">
        <v>28223</v>
      </c>
      <c r="G202" t="s">
        <v>378</v>
      </c>
      <c r="H202" t="s">
        <v>382</v>
      </c>
      <c r="I202" t="s">
        <v>387</v>
      </c>
      <c r="J202" t="s">
        <v>391</v>
      </c>
      <c r="K202" s="1">
        <v>41771</v>
      </c>
      <c r="L202" t="s">
        <v>399</v>
      </c>
      <c r="M202" t="s">
        <v>413</v>
      </c>
      <c r="N202" t="s">
        <v>428</v>
      </c>
      <c r="O202" s="2">
        <f t="shared" ca="1" si="3"/>
        <v>47</v>
      </c>
    </row>
    <row r="203" spans="1:15" x14ac:dyDescent="0.3">
      <c r="A203" t="s">
        <v>202</v>
      </c>
      <c r="B203">
        <v>10037</v>
      </c>
      <c r="C203" s="4">
        <v>52984</v>
      </c>
      <c r="D203" t="s">
        <v>315</v>
      </c>
      <c r="E203" t="s">
        <v>348</v>
      </c>
      <c r="F203" s="1">
        <v>24626</v>
      </c>
      <c r="G203" t="s">
        <v>379</v>
      </c>
      <c r="H203" t="s">
        <v>385</v>
      </c>
      <c r="I203" t="s">
        <v>387</v>
      </c>
      <c r="J203" t="s">
        <v>392</v>
      </c>
      <c r="K203" s="1">
        <v>41365</v>
      </c>
      <c r="L203" t="s">
        <v>399</v>
      </c>
      <c r="M203" t="s">
        <v>414</v>
      </c>
      <c r="N203" t="s">
        <v>432</v>
      </c>
      <c r="O203" s="2">
        <f t="shared" ca="1" si="3"/>
        <v>57</v>
      </c>
    </row>
    <row r="204" spans="1:15" x14ac:dyDescent="0.3">
      <c r="A204" t="s">
        <v>203</v>
      </c>
      <c r="B204">
        <v>10042</v>
      </c>
      <c r="C204" s="4">
        <v>63695</v>
      </c>
      <c r="D204" t="s">
        <v>326</v>
      </c>
      <c r="E204" t="s">
        <v>365</v>
      </c>
      <c r="F204" s="1">
        <v>32598</v>
      </c>
      <c r="G204" t="s">
        <v>379</v>
      </c>
      <c r="H204" t="s">
        <v>381</v>
      </c>
      <c r="I204" t="s">
        <v>387</v>
      </c>
      <c r="J204" t="s">
        <v>393</v>
      </c>
      <c r="K204" s="1">
        <v>41463</v>
      </c>
      <c r="L204" t="s">
        <v>403</v>
      </c>
      <c r="M204" t="s">
        <v>422</v>
      </c>
      <c r="N204" t="s">
        <v>429</v>
      </c>
      <c r="O204" s="2">
        <f t="shared" ca="1" si="3"/>
        <v>35</v>
      </c>
    </row>
    <row r="205" spans="1:15" x14ac:dyDescent="0.3">
      <c r="A205" t="s">
        <v>204</v>
      </c>
      <c r="B205">
        <v>10206</v>
      </c>
      <c r="C205" s="4">
        <v>62061</v>
      </c>
      <c r="D205" t="s">
        <v>315</v>
      </c>
      <c r="E205" t="s">
        <v>348</v>
      </c>
      <c r="F205" s="1">
        <v>30870</v>
      </c>
      <c r="G205" t="s">
        <v>379</v>
      </c>
      <c r="H205" t="s">
        <v>381</v>
      </c>
      <c r="I205" t="s">
        <v>387</v>
      </c>
      <c r="J205" t="s">
        <v>391</v>
      </c>
      <c r="K205" s="1">
        <v>41463</v>
      </c>
      <c r="L205" t="s">
        <v>399</v>
      </c>
      <c r="M205" t="s">
        <v>416</v>
      </c>
      <c r="N205" t="s">
        <v>428</v>
      </c>
      <c r="O205" s="2">
        <f t="shared" ca="1" si="3"/>
        <v>40</v>
      </c>
    </row>
    <row r="206" spans="1:15" x14ac:dyDescent="0.3">
      <c r="A206" t="s">
        <v>205</v>
      </c>
      <c r="B206">
        <v>10104</v>
      </c>
      <c r="C206" s="4">
        <v>66738</v>
      </c>
      <c r="D206" t="s">
        <v>317</v>
      </c>
      <c r="E206" t="s">
        <v>348</v>
      </c>
      <c r="F206" s="1">
        <v>31374</v>
      </c>
      <c r="G206" t="s">
        <v>379</v>
      </c>
      <c r="H206" t="s">
        <v>381</v>
      </c>
      <c r="I206" t="s">
        <v>387</v>
      </c>
      <c r="J206" t="s">
        <v>391</v>
      </c>
      <c r="K206" s="1">
        <v>41953</v>
      </c>
      <c r="L206" t="s">
        <v>399</v>
      </c>
      <c r="M206" t="s">
        <v>409</v>
      </c>
      <c r="N206" t="s">
        <v>429</v>
      </c>
      <c r="O206" s="2">
        <f t="shared" ca="1" si="3"/>
        <v>39</v>
      </c>
    </row>
    <row r="207" spans="1:15" x14ac:dyDescent="0.3">
      <c r="A207" t="s">
        <v>206</v>
      </c>
      <c r="B207">
        <v>10303</v>
      </c>
      <c r="C207" s="4">
        <v>52674</v>
      </c>
      <c r="D207" t="s">
        <v>315</v>
      </c>
      <c r="E207" t="s">
        <v>348</v>
      </c>
      <c r="F207" s="1">
        <v>29494</v>
      </c>
      <c r="G207" t="s">
        <v>379</v>
      </c>
      <c r="H207" t="s">
        <v>381</v>
      </c>
      <c r="I207" t="s">
        <v>387</v>
      </c>
      <c r="J207" t="s">
        <v>393</v>
      </c>
      <c r="K207" s="1">
        <v>41729</v>
      </c>
      <c r="L207" t="s">
        <v>399</v>
      </c>
      <c r="M207" t="s">
        <v>408</v>
      </c>
      <c r="N207" t="s">
        <v>428</v>
      </c>
      <c r="O207" s="2">
        <f t="shared" ca="1" si="3"/>
        <v>44</v>
      </c>
    </row>
    <row r="208" spans="1:15" x14ac:dyDescent="0.3">
      <c r="A208" t="s">
        <v>207</v>
      </c>
      <c r="B208">
        <v>10078</v>
      </c>
      <c r="C208" s="4">
        <v>71966</v>
      </c>
      <c r="D208" t="s">
        <v>317</v>
      </c>
      <c r="E208" t="s">
        <v>348</v>
      </c>
      <c r="F208" s="1">
        <v>19035</v>
      </c>
      <c r="G208" t="s">
        <v>379</v>
      </c>
      <c r="H208" t="s">
        <v>382</v>
      </c>
      <c r="I208" t="s">
        <v>387</v>
      </c>
      <c r="J208" t="s">
        <v>394</v>
      </c>
      <c r="K208" s="1">
        <v>41043</v>
      </c>
      <c r="L208" t="s">
        <v>399</v>
      </c>
      <c r="M208" t="s">
        <v>410</v>
      </c>
      <c r="N208" t="s">
        <v>428</v>
      </c>
      <c r="O208" s="2">
        <f t="shared" ca="1" si="3"/>
        <v>73</v>
      </c>
    </row>
    <row r="209" spans="1:15" x14ac:dyDescent="0.3">
      <c r="A209" t="s">
        <v>208</v>
      </c>
      <c r="B209">
        <v>10121</v>
      </c>
      <c r="C209" s="4">
        <v>63051</v>
      </c>
      <c r="D209" t="s">
        <v>326</v>
      </c>
      <c r="E209" t="s">
        <v>366</v>
      </c>
      <c r="F209" s="1">
        <v>33004</v>
      </c>
      <c r="G209" t="s">
        <v>379</v>
      </c>
      <c r="H209" t="s">
        <v>381</v>
      </c>
      <c r="I209" t="s">
        <v>387</v>
      </c>
      <c r="J209" t="s">
        <v>391</v>
      </c>
      <c r="K209" s="1">
        <v>41547</v>
      </c>
      <c r="L209" t="s">
        <v>403</v>
      </c>
      <c r="M209" t="s">
        <v>422</v>
      </c>
      <c r="N209" t="s">
        <v>429</v>
      </c>
      <c r="O209" s="2">
        <f t="shared" ca="1" si="3"/>
        <v>34</v>
      </c>
    </row>
    <row r="210" spans="1:15" x14ac:dyDescent="0.3">
      <c r="A210" t="s">
        <v>209</v>
      </c>
      <c r="B210">
        <v>10021</v>
      </c>
      <c r="C210" s="4">
        <v>47414</v>
      </c>
      <c r="D210" t="s">
        <v>315</v>
      </c>
      <c r="E210" t="s">
        <v>348</v>
      </c>
      <c r="F210" s="1">
        <v>28105</v>
      </c>
      <c r="G210" t="s">
        <v>378</v>
      </c>
      <c r="H210" t="s">
        <v>382</v>
      </c>
      <c r="I210" t="s">
        <v>387</v>
      </c>
      <c r="J210" t="s">
        <v>391</v>
      </c>
      <c r="K210" s="1">
        <v>41547</v>
      </c>
      <c r="L210" t="s">
        <v>399</v>
      </c>
      <c r="M210" t="s">
        <v>417</v>
      </c>
      <c r="N210" t="s">
        <v>428</v>
      </c>
      <c r="O210" s="2">
        <f t="shared" ca="1" si="3"/>
        <v>48</v>
      </c>
    </row>
    <row r="211" spans="1:15" x14ac:dyDescent="0.3">
      <c r="A211" t="s">
        <v>210</v>
      </c>
      <c r="B211">
        <v>10281</v>
      </c>
      <c r="C211" s="4">
        <v>53060</v>
      </c>
      <c r="D211" t="s">
        <v>315</v>
      </c>
      <c r="E211" t="s">
        <v>348</v>
      </c>
      <c r="F211" s="1">
        <v>29183</v>
      </c>
      <c r="G211" t="s">
        <v>378</v>
      </c>
      <c r="H211" t="s">
        <v>381</v>
      </c>
      <c r="I211" t="s">
        <v>387</v>
      </c>
      <c r="J211" t="s">
        <v>392</v>
      </c>
      <c r="K211" s="1">
        <v>41687</v>
      </c>
      <c r="L211" t="s">
        <v>399</v>
      </c>
      <c r="M211" t="s">
        <v>406</v>
      </c>
      <c r="N211" t="s">
        <v>428</v>
      </c>
      <c r="O211" s="2">
        <f t="shared" ca="1" si="3"/>
        <v>45</v>
      </c>
    </row>
    <row r="212" spans="1:15" x14ac:dyDescent="0.3">
      <c r="A212" t="s">
        <v>211</v>
      </c>
      <c r="B212">
        <v>10041</v>
      </c>
      <c r="C212" s="4">
        <v>68829</v>
      </c>
      <c r="D212" t="s">
        <v>326</v>
      </c>
      <c r="E212" t="s">
        <v>367</v>
      </c>
      <c r="F212" s="1">
        <v>30090</v>
      </c>
      <c r="G212" t="s">
        <v>378</v>
      </c>
      <c r="H212" t="s">
        <v>381</v>
      </c>
      <c r="I212" t="s">
        <v>387</v>
      </c>
      <c r="J212" t="s">
        <v>391</v>
      </c>
      <c r="K212" s="1">
        <v>42009</v>
      </c>
      <c r="L212" t="s">
        <v>403</v>
      </c>
      <c r="M212" t="s">
        <v>420</v>
      </c>
      <c r="N212" t="s">
        <v>435</v>
      </c>
      <c r="O212" s="2">
        <f t="shared" ca="1" si="3"/>
        <v>42</v>
      </c>
    </row>
    <row r="213" spans="1:15" x14ac:dyDescent="0.3">
      <c r="A213" t="s">
        <v>212</v>
      </c>
      <c r="B213">
        <v>10148</v>
      </c>
      <c r="C213" s="4">
        <v>63515</v>
      </c>
      <c r="D213" t="s">
        <v>315</v>
      </c>
      <c r="E213" t="s">
        <v>348</v>
      </c>
      <c r="F213" s="1">
        <v>28976</v>
      </c>
      <c r="G213" t="s">
        <v>379</v>
      </c>
      <c r="H213" t="s">
        <v>382</v>
      </c>
      <c r="I213" t="s">
        <v>387</v>
      </c>
      <c r="J213" t="s">
        <v>391</v>
      </c>
      <c r="K213" s="1">
        <v>40581</v>
      </c>
      <c r="L213" t="s">
        <v>399</v>
      </c>
      <c r="M213" t="s">
        <v>409</v>
      </c>
      <c r="N213" t="s">
        <v>430</v>
      </c>
      <c r="O213" s="2">
        <f t="shared" ca="1" si="3"/>
        <v>45</v>
      </c>
    </row>
    <row r="214" spans="1:15" x14ac:dyDescent="0.3">
      <c r="A214" t="s">
        <v>213</v>
      </c>
      <c r="B214">
        <v>10005</v>
      </c>
      <c r="C214" s="4">
        <v>108987</v>
      </c>
      <c r="D214" t="s">
        <v>318</v>
      </c>
      <c r="E214" t="s">
        <v>348</v>
      </c>
      <c r="F214" s="1">
        <v>28906</v>
      </c>
      <c r="G214" t="s">
        <v>378</v>
      </c>
      <c r="H214" t="s">
        <v>381</v>
      </c>
      <c r="I214" t="s">
        <v>387</v>
      </c>
      <c r="J214" t="s">
        <v>392</v>
      </c>
      <c r="K214" s="1">
        <v>40854</v>
      </c>
      <c r="L214" t="s">
        <v>401</v>
      </c>
      <c r="M214" t="s">
        <v>412</v>
      </c>
      <c r="N214" t="s">
        <v>432</v>
      </c>
      <c r="O214" s="2">
        <f t="shared" ca="1" si="3"/>
        <v>46</v>
      </c>
    </row>
    <row r="215" spans="1:15" x14ac:dyDescent="0.3">
      <c r="A215" t="s">
        <v>214</v>
      </c>
      <c r="B215">
        <v>10259</v>
      </c>
      <c r="C215" s="4">
        <v>93093</v>
      </c>
      <c r="D215" t="s">
        <v>320</v>
      </c>
      <c r="E215" t="s">
        <v>348</v>
      </c>
      <c r="F215" s="1">
        <v>30930</v>
      </c>
      <c r="G215" t="s">
        <v>378</v>
      </c>
      <c r="H215" t="s">
        <v>382</v>
      </c>
      <c r="I215" t="s">
        <v>387</v>
      </c>
      <c r="J215" t="s">
        <v>391</v>
      </c>
      <c r="K215" s="1">
        <v>41974</v>
      </c>
      <c r="L215" t="s">
        <v>400</v>
      </c>
      <c r="M215" t="s">
        <v>407</v>
      </c>
      <c r="N215" t="s">
        <v>431</v>
      </c>
      <c r="O215" s="2">
        <f t="shared" ca="1" si="3"/>
        <v>40</v>
      </c>
    </row>
    <row r="216" spans="1:15" x14ac:dyDescent="0.3">
      <c r="A216" t="s">
        <v>215</v>
      </c>
      <c r="B216">
        <v>10286</v>
      </c>
      <c r="C216" s="4">
        <v>53564</v>
      </c>
      <c r="D216" t="s">
        <v>315</v>
      </c>
      <c r="E216" t="s">
        <v>348</v>
      </c>
      <c r="F216" s="1">
        <v>32219</v>
      </c>
      <c r="G216" t="s">
        <v>378</v>
      </c>
      <c r="H216" t="s">
        <v>381</v>
      </c>
      <c r="I216" t="s">
        <v>387</v>
      </c>
      <c r="J216" t="s">
        <v>392</v>
      </c>
      <c r="K216" s="1">
        <v>40553</v>
      </c>
      <c r="L216" t="s">
        <v>399</v>
      </c>
      <c r="M216" t="s">
        <v>410</v>
      </c>
      <c r="N216" t="s">
        <v>430</v>
      </c>
      <c r="O216" s="2">
        <f t="shared" ca="1" si="3"/>
        <v>37</v>
      </c>
    </row>
    <row r="217" spans="1:15" x14ac:dyDescent="0.3">
      <c r="A217" t="s">
        <v>216</v>
      </c>
      <c r="B217">
        <v>10297</v>
      </c>
      <c r="C217" s="4">
        <v>60270</v>
      </c>
      <c r="D217" t="s">
        <v>317</v>
      </c>
      <c r="E217" t="s">
        <v>348</v>
      </c>
      <c r="F217" s="1">
        <v>32707</v>
      </c>
      <c r="G217" t="s">
        <v>379</v>
      </c>
      <c r="H217" t="s">
        <v>382</v>
      </c>
      <c r="I217" t="s">
        <v>387</v>
      </c>
      <c r="J217" t="s">
        <v>394</v>
      </c>
      <c r="K217" s="1">
        <v>40729</v>
      </c>
      <c r="L217" t="s">
        <v>399</v>
      </c>
      <c r="M217" t="s">
        <v>411</v>
      </c>
      <c r="N217" t="s">
        <v>434</v>
      </c>
      <c r="O217" s="2">
        <f t="shared" ca="1" si="3"/>
        <v>35</v>
      </c>
    </row>
    <row r="218" spans="1:15" x14ac:dyDescent="0.3">
      <c r="A218" t="s">
        <v>217</v>
      </c>
      <c r="B218">
        <v>10171</v>
      </c>
      <c r="C218" s="4">
        <v>45998</v>
      </c>
      <c r="D218" t="s">
        <v>315</v>
      </c>
      <c r="E218" t="s">
        <v>348</v>
      </c>
      <c r="F218" s="1">
        <v>31613</v>
      </c>
      <c r="G218" t="s">
        <v>379</v>
      </c>
      <c r="H218" t="s">
        <v>381</v>
      </c>
      <c r="I218" t="s">
        <v>387</v>
      </c>
      <c r="J218" t="s">
        <v>391</v>
      </c>
      <c r="K218" s="1">
        <v>40679</v>
      </c>
      <c r="L218" t="s">
        <v>399</v>
      </c>
      <c r="M218" t="s">
        <v>411</v>
      </c>
      <c r="N218" t="s">
        <v>428</v>
      </c>
      <c r="O218" s="2">
        <f t="shared" ca="1" si="3"/>
        <v>38</v>
      </c>
    </row>
    <row r="219" spans="1:15" x14ac:dyDescent="0.3">
      <c r="A219" t="s">
        <v>218</v>
      </c>
      <c r="B219">
        <v>10032</v>
      </c>
      <c r="C219" s="4">
        <v>57954</v>
      </c>
      <c r="D219" t="s">
        <v>317</v>
      </c>
      <c r="E219" t="s">
        <v>348</v>
      </c>
      <c r="F219" s="1">
        <v>31641</v>
      </c>
      <c r="G219" t="s">
        <v>379</v>
      </c>
      <c r="H219" t="s">
        <v>382</v>
      </c>
      <c r="I219" t="s">
        <v>387</v>
      </c>
      <c r="J219" t="s">
        <v>391</v>
      </c>
      <c r="K219" s="1">
        <v>40679</v>
      </c>
      <c r="L219" t="s">
        <v>399</v>
      </c>
      <c r="M219" t="s">
        <v>413</v>
      </c>
      <c r="N219" t="s">
        <v>429</v>
      </c>
      <c r="O219" s="2">
        <f t="shared" ca="1" si="3"/>
        <v>38</v>
      </c>
    </row>
    <row r="220" spans="1:15" x14ac:dyDescent="0.3">
      <c r="A220" t="s">
        <v>219</v>
      </c>
      <c r="B220">
        <v>10130</v>
      </c>
      <c r="C220" s="4">
        <v>74669</v>
      </c>
      <c r="D220" t="s">
        <v>324</v>
      </c>
      <c r="E220" t="s">
        <v>348</v>
      </c>
      <c r="F220" s="1">
        <v>28254</v>
      </c>
      <c r="G220" t="s">
        <v>379</v>
      </c>
      <c r="H220" t="s">
        <v>382</v>
      </c>
      <c r="I220" t="s">
        <v>387</v>
      </c>
      <c r="J220" t="s">
        <v>391</v>
      </c>
      <c r="K220" s="1">
        <v>40476</v>
      </c>
      <c r="L220" t="s">
        <v>399</v>
      </c>
      <c r="M220" t="s">
        <v>419</v>
      </c>
      <c r="N220" t="s">
        <v>429</v>
      </c>
      <c r="O220" s="2">
        <f t="shared" ca="1" si="3"/>
        <v>47</v>
      </c>
    </row>
    <row r="221" spans="1:15" x14ac:dyDescent="0.3">
      <c r="A221" t="s">
        <v>220</v>
      </c>
      <c r="B221">
        <v>10217</v>
      </c>
      <c r="C221" s="4">
        <v>74226</v>
      </c>
      <c r="D221" t="s">
        <v>317</v>
      </c>
      <c r="E221" t="s">
        <v>348</v>
      </c>
      <c r="F221" s="1">
        <v>28924</v>
      </c>
      <c r="G221" t="s">
        <v>379</v>
      </c>
      <c r="H221" t="s">
        <v>382</v>
      </c>
      <c r="I221" t="s">
        <v>388</v>
      </c>
      <c r="J221" t="s">
        <v>394</v>
      </c>
      <c r="K221" s="1">
        <v>41001</v>
      </c>
      <c r="L221" t="s">
        <v>399</v>
      </c>
      <c r="M221" t="s">
        <v>414</v>
      </c>
      <c r="N221" t="s">
        <v>428</v>
      </c>
      <c r="O221" s="2">
        <f t="shared" ca="1" si="3"/>
        <v>46</v>
      </c>
    </row>
    <row r="222" spans="1:15" x14ac:dyDescent="0.3">
      <c r="A222" t="s">
        <v>221</v>
      </c>
      <c r="B222">
        <v>10016</v>
      </c>
      <c r="C222" s="4">
        <v>93554</v>
      </c>
      <c r="D222" t="s">
        <v>320</v>
      </c>
      <c r="E222" t="s">
        <v>348</v>
      </c>
      <c r="F222" s="1">
        <v>30941</v>
      </c>
      <c r="G222" t="s">
        <v>379</v>
      </c>
      <c r="H222" t="s">
        <v>382</v>
      </c>
      <c r="I222" t="s">
        <v>387</v>
      </c>
      <c r="J222" t="s">
        <v>392</v>
      </c>
      <c r="K222" s="1">
        <v>41953</v>
      </c>
      <c r="L222" t="s">
        <v>400</v>
      </c>
      <c r="M222" t="s">
        <v>407</v>
      </c>
      <c r="N222" t="s">
        <v>431</v>
      </c>
      <c r="O222" s="2">
        <f t="shared" ca="1" si="3"/>
        <v>40</v>
      </c>
    </row>
    <row r="223" spans="1:15" x14ac:dyDescent="0.3">
      <c r="A223" t="s">
        <v>222</v>
      </c>
      <c r="B223">
        <v>10050</v>
      </c>
      <c r="C223" s="4">
        <v>64724</v>
      </c>
      <c r="D223" t="s">
        <v>315</v>
      </c>
      <c r="E223" t="s">
        <v>348</v>
      </c>
      <c r="F223" s="1">
        <v>32208</v>
      </c>
      <c r="G223" t="s">
        <v>378</v>
      </c>
      <c r="H223" t="s">
        <v>382</v>
      </c>
      <c r="I223" t="s">
        <v>387</v>
      </c>
      <c r="J223" t="s">
        <v>394</v>
      </c>
      <c r="K223" s="1">
        <v>40729</v>
      </c>
      <c r="L223" t="s">
        <v>399</v>
      </c>
      <c r="M223" t="s">
        <v>414</v>
      </c>
      <c r="N223" t="s">
        <v>430</v>
      </c>
      <c r="O223" s="2">
        <f t="shared" ca="1" si="3"/>
        <v>37</v>
      </c>
    </row>
    <row r="224" spans="1:15" x14ac:dyDescent="0.3">
      <c r="A224" t="s">
        <v>223</v>
      </c>
      <c r="B224">
        <v>10164</v>
      </c>
      <c r="C224" s="4">
        <v>47001</v>
      </c>
      <c r="D224" t="s">
        <v>315</v>
      </c>
      <c r="E224" t="s">
        <v>348</v>
      </c>
      <c r="F224" s="1">
        <v>29913</v>
      </c>
      <c r="G224" t="s">
        <v>378</v>
      </c>
      <c r="H224" t="s">
        <v>381</v>
      </c>
      <c r="I224" t="s">
        <v>387</v>
      </c>
      <c r="J224" t="s">
        <v>391</v>
      </c>
      <c r="K224" s="1">
        <v>39391</v>
      </c>
      <c r="L224" t="s">
        <v>399</v>
      </c>
      <c r="M224" t="s">
        <v>416</v>
      </c>
      <c r="N224" t="s">
        <v>430</v>
      </c>
      <c r="O224" s="2">
        <f t="shared" ca="1" si="3"/>
        <v>43</v>
      </c>
    </row>
    <row r="225" spans="1:15" x14ac:dyDescent="0.3">
      <c r="A225" t="s">
        <v>224</v>
      </c>
      <c r="B225">
        <v>10124</v>
      </c>
      <c r="C225" s="4">
        <v>61844</v>
      </c>
      <c r="D225" t="s">
        <v>326</v>
      </c>
      <c r="E225" t="s">
        <v>368</v>
      </c>
      <c r="F225" s="1">
        <v>32384</v>
      </c>
      <c r="G225" t="s">
        <v>379</v>
      </c>
      <c r="H225" t="s">
        <v>382</v>
      </c>
      <c r="I225" t="s">
        <v>387</v>
      </c>
      <c r="J225" t="s">
        <v>392</v>
      </c>
      <c r="K225" s="1">
        <v>40917</v>
      </c>
      <c r="L225" t="s">
        <v>403</v>
      </c>
      <c r="M225" t="s">
        <v>422</v>
      </c>
      <c r="N225" t="s">
        <v>435</v>
      </c>
      <c r="O225" s="2">
        <f t="shared" ca="1" si="3"/>
        <v>36</v>
      </c>
    </row>
    <row r="226" spans="1:15" x14ac:dyDescent="0.3">
      <c r="A226" t="s">
        <v>225</v>
      </c>
      <c r="B226">
        <v>10187</v>
      </c>
      <c r="C226" s="4">
        <v>46799</v>
      </c>
      <c r="D226" t="s">
        <v>315</v>
      </c>
      <c r="E226" t="s">
        <v>348</v>
      </c>
      <c r="F226" s="1">
        <v>30970</v>
      </c>
      <c r="G226" t="s">
        <v>379</v>
      </c>
      <c r="H226" t="s">
        <v>383</v>
      </c>
      <c r="I226" t="s">
        <v>388</v>
      </c>
      <c r="J226" t="s">
        <v>394</v>
      </c>
      <c r="K226" s="1">
        <v>40679</v>
      </c>
      <c r="L226" t="s">
        <v>399</v>
      </c>
      <c r="M226" t="s">
        <v>408</v>
      </c>
      <c r="N226" t="s">
        <v>430</v>
      </c>
      <c r="O226" s="2">
        <f t="shared" ca="1" si="3"/>
        <v>40</v>
      </c>
    </row>
    <row r="227" spans="1:15" x14ac:dyDescent="0.3">
      <c r="A227" t="s">
        <v>226</v>
      </c>
      <c r="B227">
        <v>10225</v>
      </c>
      <c r="C227" s="4">
        <v>59472</v>
      </c>
      <c r="D227" t="s">
        <v>315</v>
      </c>
      <c r="E227" t="s">
        <v>348</v>
      </c>
      <c r="F227" s="1">
        <v>22451</v>
      </c>
      <c r="G227" t="s">
        <v>378</v>
      </c>
      <c r="H227" t="s">
        <v>381</v>
      </c>
      <c r="I227" t="s">
        <v>387</v>
      </c>
      <c r="J227" t="s">
        <v>391</v>
      </c>
      <c r="K227" s="1">
        <v>41645</v>
      </c>
      <c r="L227" t="s">
        <v>399</v>
      </c>
      <c r="M227" t="s">
        <v>417</v>
      </c>
      <c r="N227" t="s">
        <v>431</v>
      </c>
      <c r="O227" s="2">
        <f t="shared" ca="1" si="3"/>
        <v>63</v>
      </c>
    </row>
    <row r="228" spans="1:15" x14ac:dyDescent="0.3">
      <c r="A228" t="s">
        <v>227</v>
      </c>
      <c r="B228">
        <v>10262</v>
      </c>
      <c r="C228" s="4">
        <v>46430</v>
      </c>
      <c r="D228" t="s">
        <v>315</v>
      </c>
      <c r="E228" t="s">
        <v>348</v>
      </c>
      <c r="F228" s="1">
        <v>25833</v>
      </c>
      <c r="G228" t="s">
        <v>379</v>
      </c>
      <c r="H228" t="s">
        <v>383</v>
      </c>
      <c r="I228" t="s">
        <v>387</v>
      </c>
      <c r="J228" t="s">
        <v>391</v>
      </c>
      <c r="K228" s="1">
        <v>41176</v>
      </c>
      <c r="L228" t="s">
        <v>399</v>
      </c>
      <c r="M228" t="s">
        <v>408</v>
      </c>
      <c r="N228" t="s">
        <v>429</v>
      </c>
      <c r="O228" s="2">
        <f t="shared" ca="1" si="3"/>
        <v>54</v>
      </c>
    </row>
    <row r="229" spans="1:15" x14ac:dyDescent="0.3">
      <c r="A229" t="s">
        <v>228</v>
      </c>
      <c r="B229">
        <v>10131</v>
      </c>
      <c r="C229" s="4">
        <v>83363</v>
      </c>
      <c r="D229" t="s">
        <v>318</v>
      </c>
      <c r="E229" t="s">
        <v>348</v>
      </c>
      <c r="F229" s="1">
        <v>30992</v>
      </c>
      <c r="G229" t="s">
        <v>378</v>
      </c>
      <c r="H229" t="s">
        <v>382</v>
      </c>
      <c r="I229" t="s">
        <v>388</v>
      </c>
      <c r="J229" t="s">
        <v>392</v>
      </c>
      <c r="K229" s="1">
        <v>40595</v>
      </c>
      <c r="L229" t="s">
        <v>401</v>
      </c>
      <c r="M229" t="s">
        <v>419</v>
      </c>
      <c r="N229" t="s">
        <v>432</v>
      </c>
      <c r="O229" s="2">
        <f t="shared" ca="1" si="3"/>
        <v>40</v>
      </c>
    </row>
    <row r="230" spans="1:15" x14ac:dyDescent="0.3">
      <c r="A230" t="s">
        <v>229</v>
      </c>
      <c r="B230">
        <v>10239</v>
      </c>
      <c r="C230" s="4">
        <v>95920</v>
      </c>
      <c r="D230" t="s">
        <v>332</v>
      </c>
      <c r="E230" t="s">
        <v>348</v>
      </c>
      <c r="F230" s="1">
        <v>29353</v>
      </c>
      <c r="G230" t="s">
        <v>379</v>
      </c>
      <c r="H230" t="s">
        <v>382</v>
      </c>
      <c r="I230" t="s">
        <v>387</v>
      </c>
      <c r="J230" t="s">
        <v>392</v>
      </c>
      <c r="K230" s="1">
        <v>42645</v>
      </c>
      <c r="L230" t="s">
        <v>400</v>
      </c>
      <c r="M230" t="s">
        <v>425</v>
      </c>
      <c r="N230" t="s">
        <v>429</v>
      </c>
      <c r="O230" s="2">
        <f t="shared" ca="1" si="3"/>
        <v>44</v>
      </c>
    </row>
    <row r="231" spans="1:15" x14ac:dyDescent="0.3">
      <c r="A231" t="s">
        <v>230</v>
      </c>
      <c r="B231">
        <v>10152</v>
      </c>
      <c r="C231" s="4">
        <v>61729</v>
      </c>
      <c r="D231" t="s">
        <v>315</v>
      </c>
      <c r="E231" t="s">
        <v>348</v>
      </c>
      <c r="F231" s="1">
        <v>31047</v>
      </c>
      <c r="G231" t="s">
        <v>378</v>
      </c>
      <c r="H231" t="s">
        <v>383</v>
      </c>
      <c r="I231" t="s">
        <v>387</v>
      </c>
      <c r="J231" t="s">
        <v>391</v>
      </c>
      <c r="K231" s="1">
        <v>40812</v>
      </c>
      <c r="L231" t="s">
        <v>399</v>
      </c>
      <c r="M231" t="s">
        <v>406</v>
      </c>
      <c r="N231" t="s">
        <v>429</v>
      </c>
      <c r="O231" s="2">
        <f t="shared" ca="1" si="3"/>
        <v>40</v>
      </c>
    </row>
    <row r="232" spans="1:15" x14ac:dyDescent="0.3">
      <c r="A232" t="s">
        <v>231</v>
      </c>
      <c r="B232">
        <v>10140</v>
      </c>
      <c r="C232" s="4">
        <v>61809</v>
      </c>
      <c r="D232" t="s">
        <v>326</v>
      </c>
      <c r="E232" t="s">
        <v>369</v>
      </c>
      <c r="F232" s="1">
        <v>20009</v>
      </c>
      <c r="G232" t="s">
        <v>378</v>
      </c>
      <c r="H232" t="s">
        <v>382</v>
      </c>
      <c r="I232" t="s">
        <v>387</v>
      </c>
      <c r="J232" t="s">
        <v>391</v>
      </c>
      <c r="K232" s="1">
        <v>41771</v>
      </c>
      <c r="L232" t="s">
        <v>403</v>
      </c>
      <c r="M232" t="s">
        <v>420</v>
      </c>
      <c r="N232" t="s">
        <v>434</v>
      </c>
      <c r="O232" s="2">
        <f t="shared" ca="1" si="3"/>
        <v>70</v>
      </c>
    </row>
    <row r="233" spans="1:15" x14ac:dyDescent="0.3">
      <c r="A233" t="s">
        <v>232</v>
      </c>
      <c r="B233">
        <v>10058</v>
      </c>
      <c r="C233" s="4">
        <v>45115</v>
      </c>
      <c r="D233" t="s">
        <v>315</v>
      </c>
      <c r="E233" t="s">
        <v>348</v>
      </c>
      <c r="F233" s="1">
        <v>30154</v>
      </c>
      <c r="G233" t="s">
        <v>378</v>
      </c>
      <c r="H233" t="s">
        <v>383</v>
      </c>
      <c r="I233" t="s">
        <v>387</v>
      </c>
      <c r="J233" t="s">
        <v>391</v>
      </c>
      <c r="K233" s="1">
        <v>40679</v>
      </c>
      <c r="L233" t="s">
        <v>399</v>
      </c>
      <c r="M233" t="s">
        <v>409</v>
      </c>
      <c r="N233" t="s">
        <v>428</v>
      </c>
      <c r="O233" s="2">
        <f t="shared" ca="1" si="3"/>
        <v>42</v>
      </c>
    </row>
    <row r="234" spans="1:15" x14ac:dyDescent="0.3">
      <c r="A234" t="s">
        <v>233</v>
      </c>
      <c r="B234">
        <v>10011</v>
      </c>
      <c r="C234" s="4">
        <v>46738</v>
      </c>
      <c r="D234" t="s">
        <v>315</v>
      </c>
      <c r="E234" t="s">
        <v>348</v>
      </c>
      <c r="F234" s="1">
        <v>26676</v>
      </c>
      <c r="G234" t="s">
        <v>379</v>
      </c>
      <c r="H234" t="s">
        <v>382</v>
      </c>
      <c r="I234" t="s">
        <v>387</v>
      </c>
      <c r="J234" t="s">
        <v>394</v>
      </c>
      <c r="K234" s="1">
        <v>40875</v>
      </c>
      <c r="L234" t="s">
        <v>399</v>
      </c>
      <c r="M234" t="s">
        <v>410</v>
      </c>
      <c r="N234" t="s">
        <v>430</v>
      </c>
      <c r="O234" s="2">
        <f t="shared" ca="1" si="3"/>
        <v>52</v>
      </c>
    </row>
    <row r="235" spans="1:15" x14ac:dyDescent="0.3">
      <c r="A235" t="s">
        <v>234</v>
      </c>
      <c r="B235">
        <v>10230</v>
      </c>
      <c r="C235" s="4">
        <v>64971</v>
      </c>
      <c r="D235" t="s">
        <v>317</v>
      </c>
      <c r="E235" t="s">
        <v>348</v>
      </c>
      <c r="F235" s="1">
        <v>29834</v>
      </c>
      <c r="G235" t="s">
        <v>379</v>
      </c>
      <c r="H235" t="s">
        <v>383</v>
      </c>
      <c r="I235" t="s">
        <v>388</v>
      </c>
      <c r="J235" t="s">
        <v>392</v>
      </c>
      <c r="K235" s="1">
        <v>40812</v>
      </c>
      <c r="L235" t="s">
        <v>399</v>
      </c>
      <c r="M235" t="s">
        <v>416</v>
      </c>
      <c r="N235" t="s">
        <v>430</v>
      </c>
      <c r="O235" s="2">
        <f t="shared" ca="1" si="3"/>
        <v>43</v>
      </c>
    </row>
    <row r="236" spans="1:15" x14ac:dyDescent="0.3">
      <c r="A236" t="s">
        <v>235</v>
      </c>
      <c r="B236">
        <v>10224</v>
      </c>
      <c r="C236" s="4">
        <v>55578</v>
      </c>
      <c r="D236" t="s">
        <v>317</v>
      </c>
      <c r="E236" t="s">
        <v>348</v>
      </c>
      <c r="F236" s="1">
        <v>26483</v>
      </c>
      <c r="G236" t="s">
        <v>378</v>
      </c>
      <c r="H236" t="s">
        <v>382</v>
      </c>
      <c r="I236" t="s">
        <v>387</v>
      </c>
      <c r="J236" t="s">
        <v>391</v>
      </c>
      <c r="K236" s="1">
        <v>40729</v>
      </c>
      <c r="L236" t="s">
        <v>399</v>
      </c>
      <c r="M236" t="s">
        <v>408</v>
      </c>
      <c r="N236" t="s">
        <v>429</v>
      </c>
      <c r="O236" s="2">
        <f t="shared" ca="1" si="3"/>
        <v>52</v>
      </c>
    </row>
    <row r="237" spans="1:15" x14ac:dyDescent="0.3">
      <c r="A237" t="s">
        <v>236</v>
      </c>
      <c r="B237">
        <v>10047</v>
      </c>
      <c r="C237" s="4">
        <v>50428</v>
      </c>
      <c r="D237" t="s">
        <v>315</v>
      </c>
      <c r="E237" t="s">
        <v>348</v>
      </c>
      <c r="F237" s="1">
        <v>27036</v>
      </c>
      <c r="G237" t="s">
        <v>378</v>
      </c>
      <c r="H237" t="s">
        <v>382</v>
      </c>
      <c r="I237" t="s">
        <v>387</v>
      </c>
      <c r="J237" t="s">
        <v>392</v>
      </c>
      <c r="K237" s="1">
        <v>40553</v>
      </c>
      <c r="L237" t="s">
        <v>399</v>
      </c>
      <c r="M237" t="s">
        <v>411</v>
      </c>
      <c r="N237" t="s">
        <v>429</v>
      </c>
      <c r="O237" s="2">
        <f t="shared" ca="1" si="3"/>
        <v>51</v>
      </c>
    </row>
    <row r="238" spans="1:15" x14ac:dyDescent="0.3">
      <c r="A238" t="s">
        <v>237</v>
      </c>
      <c r="B238">
        <v>10285</v>
      </c>
      <c r="C238" s="4">
        <v>61422</v>
      </c>
      <c r="D238" t="s">
        <v>315</v>
      </c>
      <c r="E238" t="s">
        <v>348</v>
      </c>
      <c r="F238" s="1">
        <v>31054</v>
      </c>
      <c r="G238" t="s">
        <v>379</v>
      </c>
      <c r="H238" t="s">
        <v>382</v>
      </c>
      <c r="I238" t="s">
        <v>387</v>
      </c>
      <c r="J238" t="s">
        <v>391</v>
      </c>
      <c r="K238" s="1">
        <v>40553</v>
      </c>
      <c r="L238" t="s">
        <v>399</v>
      </c>
      <c r="M238" t="s">
        <v>413</v>
      </c>
      <c r="N238" t="s">
        <v>429</v>
      </c>
      <c r="O238" s="2">
        <f t="shared" ca="1" si="3"/>
        <v>40</v>
      </c>
    </row>
    <row r="239" spans="1:15" x14ac:dyDescent="0.3">
      <c r="A239" t="s">
        <v>238</v>
      </c>
      <c r="B239">
        <v>10020</v>
      </c>
      <c r="C239" s="4">
        <v>63353</v>
      </c>
      <c r="D239" t="s">
        <v>315</v>
      </c>
      <c r="E239" t="s">
        <v>348</v>
      </c>
      <c r="F239" s="1">
        <v>31075</v>
      </c>
      <c r="G239" t="s">
        <v>378</v>
      </c>
      <c r="H239" t="s">
        <v>384</v>
      </c>
      <c r="I239" t="s">
        <v>387</v>
      </c>
      <c r="J239" t="s">
        <v>391</v>
      </c>
      <c r="K239" s="1">
        <v>41463</v>
      </c>
      <c r="L239" t="s">
        <v>399</v>
      </c>
      <c r="M239" t="s">
        <v>414</v>
      </c>
      <c r="N239" t="s">
        <v>431</v>
      </c>
      <c r="O239" s="2">
        <f t="shared" ca="1" si="3"/>
        <v>40</v>
      </c>
    </row>
    <row r="240" spans="1:15" x14ac:dyDescent="0.3">
      <c r="A240" t="s">
        <v>239</v>
      </c>
      <c r="B240">
        <v>10162</v>
      </c>
      <c r="C240" s="4">
        <v>89883</v>
      </c>
      <c r="D240" t="s">
        <v>320</v>
      </c>
      <c r="E240" t="s">
        <v>348</v>
      </c>
      <c r="F240" s="1">
        <v>29870</v>
      </c>
      <c r="G240" t="s">
        <v>379</v>
      </c>
      <c r="H240" t="s">
        <v>382</v>
      </c>
      <c r="I240" t="s">
        <v>387</v>
      </c>
      <c r="J240" t="s">
        <v>391</v>
      </c>
      <c r="K240" s="1">
        <v>42051</v>
      </c>
      <c r="L240" t="s">
        <v>400</v>
      </c>
      <c r="M240" t="s">
        <v>407</v>
      </c>
      <c r="N240" t="s">
        <v>431</v>
      </c>
      <c r="O240" s="2">
        <f t="shared" ca="1" si="3"/>
        <v>43</v>
      </c>
    </row>
    <row r="241" spans="1:15" x14ac:dyDescent="0.3">
      <c r="A241" t="s">
        <v>240</v>
      </c>
      <c r="B241">
        <v>10149</v>
      </c>
      <c r="C241" s="4">
        <v>120000</v>
      </c>
      <c r="D241" t="s">
        <v>342</v>
      </c>
      <c r="E241" t="s">
        <v>348</v>
      </c>
      <c r="F241" s="1">
        <v>26811</v>
      </c>
      <c r="G241" t="s">
        <v>379</v>
      </c>
      <c r="H241" t="s">
        <v>381</v>
      </c>
      <c r="I241" t="s">
        <v>387</v>
      </c>
      <c r="J241" t="s">
        <v>391</v>
      </c>
      <c r="K241" s="1">
        <v>42009</v>
      </c>
      <c r="L241" t="s">
        <v>400</v>
      </c>
      <c r="M241" t="s">
        <v>407</v>
      </c>
      <c r="N241" t="s">
        <v>428</v>
      </c>
      <c r="O241" s="2">
        <f t="shared" ca="1" si="3"/>
        <v>51</v>
      </c>
    </row>
    <row r="242" spans="1:15" x14ac:dyDescent="0.3">
      <c r="A242" t="s">
        <v>241</v>
      </c>
      <c r="B242">
        <v>10086</v>
      </c>
      <c r="C242" s="4">
        <v>150290</v>
      </c>
      <c r="D242" t="s">
        <v>343</v>
      </c>
      <c r="E242" t="s">
        <v>348</v>
      </c>
      <c r="F242" s="1">
        <v>26624</v>
      </c>
      <c r="G242" t="s">
        <v>379</v>
      </c>
      <c r="H242" t="s">
        <v>381</v>
      </c>
      <c r="I242" t="s">
        <v>387</v>
      </c>
      <c r="J242" t="s">
        <v>392</v>
      </c>
      <c r="K242" s="1">
        <v>42742</v>
      </c>
      <c r="L242" t="s">
        <v>400</v>
      </c>
      <c r="M242" t="s">
        <v>425</v>
      </c>
      <c r="N242" t="s">
        <v>429</v>
      </c>
      <c r="O242" s="2">
        <f t="shared" ca="1" si="3"/>
        <v>52</v>
      </c>
    </row>
    <row r="243" spans="1:15" x14ac:dyDescent="0.3">
      <c r="A243" t="s">
        <v>242</v>
      </c>
      <c r="B243">
        <v>10054</v>
      </c>
      <c r="C243" s="4">
        <v>60627</v>
      </c>
      <c r="D243" t="s">
        <v>315</v>
      </c>
      <c r="E243" t="s">
        <v>348</v>
      </c>
      <c r="F243" s="1">
        <v>27368</v>
      </c>
      <c r="G243" t="s">
        <v>379</v>
      </c>
      <c r="H243" t="s">
        <v>385</v>
      </c>
      <c r="I243" t="s">
        <v>387</v>
      </c>
      <c r="J243" t="s">
        <v>391</v>
      </c>
      <c r="K243" s="1">
        <v>41645</v>
      </c>
      <c r="L243" t="s">
        <v>399</v>
      </c>
      <c r="M243" t="s">
        <v>416</v>
      </c>
      <c r="N243" t="s">
        <v>435</v>
      </c>
      <c r="O243" s="2">
        <f t="shared" ca="1" si="3"/>
        <v>50</v>
      </c>
    </row>
    <row r="244" spans="1:15" x14ac:dyDescent="0.3">
      <c r="A244" t="s">
        <v>243</v>
      </c>
      <c r="B244">
        <v>10065</v>
      </c>
      <c r="C244" s="4">
        <v>53180</v>
      </c>
      <c r="D244" t="s">
        <v>315</v>
      </c>
      <c r="E244" t="s">
        <v>348</v>
      </c>
      <c r="F244" s="1">
        <v>31854</v>
      </c>
      <c r="G244" t="s">
        <v>378</v>
      </c>
      <c r="H244" t="s">
        <v>381</v>
      </c>
      <c r="I244" t="s">
        <v>387</v>
      </c>
      <c r="J244" t="s">
        <v>391</v>
      </c>
      <c r="K244" s="1">
        <v>40637</v>
      </c>
      <c r="L244" t="s">
        <v>399</v>
      </c>
      <c r="M244" t="s">
        <v>408</v>
      </c>
      <c r="N244" t="s">
        <v>430</v>
      </c>
      <c r="O244" s="2">
        <f t="shared" ca="1" si="3"/>
        <v>38</v>
      </c>
    </row>
    <row r="245" spans="1:15" x14ac:dyDescent="0.3">
      <c r="A245" t="s">
        <v>244</v>
      </c>
      <c r="B245">
        <v>10198</v>
      </c>
      <c r="C245" s="4">
        <v>140920</v>
      </c>
      <c r="D245" t="s">
        <v>344</v>
      </c>
      <c r="E245" t="s">
        <v>348</v>
      </c>
      <c r="F245" s="1">
        <v>26759</v>
      </c>
      <c r="G245" t="s">
        <v>378</v>
      </c>
      <c r="H245" t="s">
        <v>381</v>
      </c>
      <c r="I245" t="s">
        <v>387</v>
      </c>
      <c r="J245" t="s">
        <v>391</v>
      </c>
      <c r="K245" s="1">
        <v>41294</v>
      </c>
      <c r="L245" t="s">
        <v>400</v>
      </c>
      <c r="M245" t="s">
        <v>421</v>
      </c>
      <c r="N245" t="s">
        <v>429</v>
      </c>
      <c r="O245" s="2">
        <f t="shared" ca="1" si="3"/>
        <v>51</v>
      </c>
    </row>
    <row r="246" spans="1:15" x14ac:dyDescent="0.3">
      <c r="A246" t="s">
        <v>245</v>
      </c>
      <c r="B246">
        <v>10222</v>
      </c>
      <c r="C246" s="4">
        <v>148999</v>
      </c>
      <c r="D246" t="s">
        <v>344</v>
      </c>
      <c r="E246" t="s">
        <v>348</v>
      </c>
      <c r="F246" s="1">
        <v>23380</v>
      </c>
      <c r="G246" t="s">
        <v>378</v>
      </c>
      <c r="H246" t="s">
        <v>383</v>
      </c>
      <c r="I246" t="s">
        <v>387</v>
      </c>
      <c r="J246" t="s">
        <v>392</v>
      </c>
      <c r="K246" s="1">
        <v>40917</v>
      </c>
      <c r="L246" t="s">
        <v>400</v>
      </c>
      <c r="M246" t="s">
        <v>421</v>
      </c>
      <c r="N246" t="s">
        <v>432</v>
      </c>
      <c r="O246" s="2">
        <f t="shared" ca="1" si="3"/>
        <v>61</v>
      </c>
    </row>
    <row r="247" spans="1:15" x14ac:dyDescent="0.3">
      <c r="A247" t="s">
        <v>246</v>
      </c>
      <c r="B247">
        <v>10126</v>
      </c>
      <c r="C247" s="4">
        <v>86214</v>
      </c>
      <c r="D247" t="s">
        <v>318</v>
      </c>
      <c r="E247" t="s">
        <v>348</v>
      </c>
      <c r="F247" s="1">
        <v>31617</v>
      </c>
      <c r="G247" t="s">
        <v>379</v>
      </c>
      <c r="H247" t="s">
        <v>382</v>
      </c>
      <c r="I247" t="s">
        <v>387</v>
      </c>
      <c r="J247" t="s">
        <v>391</v>
      </c>
      <c r="K247" s="1">
        <v>41218</v>
      </c>
      <c r="L247" t="s">
        <v>401</v>
      </c>
      <c r="M247" t="s">
        <v>412</v>
      </c>
      <c r="N247" t="s">
        <v>429</v>
      </c>
      <c r="O247" s="2">
        <f t="shared" ca="1" si="3"/>
        <v>38</v>
      </c>
    </row>
    <row r="248" spans="1:15" x14ac:dyDescent="0.3">
      <c r="A248" t="s">
        <v>247</v>
      </c>
      <c r="B248">
        <v>10295</v>
      </c>
      <c r="C248" s="4">
        <v>47750</v>
      </c>
      <c r="D248" t="s">
        <v>315</v>
      </c>
      <c r="E248" t="s">
        <v>348</v>
      </c>
      <c r="F248" s="1">
        <v>24995</v>
      </c>
      <c r="G248" t="s">
        <v>379</v>
      </c>
      <c r="H248" t="s">
        <v>381</v>
      </c>
      <c r="I248" t="s">
        <v>387</v>
      </c>
      <c r="J248" t="s">
        <v>392</v>
      </c>
      <c r="K248" s="1">
        <v>42555</v>
      </c>
      <c r="L248" t="s">
        <v>399</v>
      </c>
      <c r="M248" t="s">
        <v>417</v>
      </c>
      <c r="N248" t="s">
        <v>432</v>
      </c>
      <c r="O248" s="2">
        <f t="shared" ca="1" si="3"/>
        <v>56</v>
      </c>
    </row>
    <row r="249" spans="1:15" x14ac:dyDescent="0.3">
      <c r="A249" t="s">
        <v>248</v>
      </c>
      <c r="B249">
        <v>10260</v>
      </c>
      <c r="C249" s="4">
        <v>46428</v>
      </c>
      <c r="D249" t="s">
        <v>315</v>
      </c>
      <c r="E249" t="s">
        <v>348</v>
      </c>
      <c r="F249" s="1">
        <v>27384</v>
      </c>
      <c r="G249" t="s">
        <v>378</v>
      </c>
      <c r="H249" t="s">
        <v>381</v>
      </c>
      <c r="I249" t="s">
        <v>387</v>
      </c>
      <c r="J249" t="s">
        <v>391</v>
      </c>
      <c r="K249" s="1">
        <v>39818</v>
      </c>
      <c r="L249" t="s">
        <v>399</v>
      </c>
      <c r="M249" t="s">
        <v>406</v>
      </c>
      <c r="N249" t="s">
        <v>430</v>
      </c>
      <c r="O249" s="2">
        <f t="shared" ca="1" si="3"/>
        <v>50</v>
      </c>
    </row>
    <row r="250" spans="1:15" x14ac:dyDescent="0.3">
      <c r="A250" t="s">
        <v>249</v>
      </c>
      <c r="B250">
        <v>10233</v>
      </c>
      <c r="C250" s="4">
        <v>57975</v>
      </c>
      <c r="D250" t="s">
        <v>317</v>
      </c>
      <c r="E250" t="s">
        <v>348</v>
      </c>
      <c r="F250" s="1">
        <v>31528</v>
      </c>
      <c r="G250" t="s">
        <v>378</v>
      </c>
      <c r="H250" t="s">
        <v>382</v>
      </c>
      <c r="I250" t="s">
        <v>387</v>
      </c>
      <c r="J250" t="s">
        <v>391</v>
      </c>
      <c r="K250" s="1">
        <v>40420</v>
      </c>
      <c r="L250" t="s">
        <v>399</v>
      </c>
      <c r="M250" t="s">
        <v>417</v>
      </c>
      <c r="N250" t="s">
        <v>434</v>
      </c>
      <c r="O250" s="2">
        <f t="shared" ca="1" si="3"/>
        <v>38</v>
      </c>
    </row>
    <row r="251" spans="1:15" x14ac:dyDescent="0.3">
      <c r="A251" t="s">
        <v>250</v>
      </c>
      <c r="B251">
        <v>10229</v>
      </c>
      <c r="C251" s="4">
        <v>88527</v>
      </c>
      <c r="D251" t="s">
        <v>345</v>
      </c>
      <c r="E251" t="s">
        <v>348</v>
      </c>
      <c r="F251" s="1">
        <v>32128</v>
      </c>
      <c r="G251" t="s">
        <v>378</v>
      </c>
      <c r="H251" t="s">
        <v>383</v>
      </c>
      <c r="I251" t="s">
        <v>387</v>
      </c>
      <c r="J251" t="s">
        <v>392</v>
      </c>
      <c r="K251" s="1">
        <v>42009</v>
      </c>
      <c r="L251" t="s">
        <v>400</v>
      </c>
      <c r="M251" t="s">
        <v>407</v>
      </c>
      <c r="N251" t="s">
        <v>428</v>
      </c>
      <c r="O251" s="2">
        <f t="shared" ca="1" si="3"/>
        <v>37</v>
      </c>
    </row>
    <row r="252" spans="1:15" x14ac:dyDescent="0.3">
      <c r="A252" t="s">
        <v>251</v>
      </c>
      <c r="B252">
        <v>10169</v>
      </c>
      <c r="C252" s="4">
        <v>56147</v>
      </c>
      <c r="D252" t="s">
        <v>315</v>
      </c>
      <c r="E252" t="s">
        <v>348</v>
      </c>
      <c r="F252" s="1">
        <v>32334</v>
      </c>
      <c r="G252" t="s">
        <v>379</v>
      </c>
      <c r="H252" t="s">
        <v>382</v>
      </c>
      <c r="I252" t="s">
        <v>387</v>
      </c>
      <c r="J252" t="s">
        <v>392</v>
      </c>
      <c r="K252" s="1">
        <v>41911</v>
      </c>
      <c r="L252" t="s">
        <v>399</v>
      </c>
      <c r="M252" t="s">
        <v>409</v>
      </c>
      <c r="N252" t="s">
        <v>428</v>
      </c>
      <c r="O252" s="2">
        <f t="shared" ca="1" si="3"/>
        <v>36</v>
      </c>
    </row>
    <row r="253" spans="1:15" x14ac:dyDescent="0.3">
      <c r="A253" t="s">
        <v>252</v>
      </c>
      <c r="B253">
        <v>10071</v>
      </c>
      <c r="C253" s="4">
        <v>50923</v>
      </c>
      <c r="D253" t="s">
        <v>315</v>
      </c>
      <c r="E253" t="s">
        <v>348</v>
      </c>
      <c r="F253" s="1">
        <v>27463</v>
      </c>
      <c r="G253" t="s">
        <v>379</v>
      </c>
      <c r="H253" t="s">
        <v>381</v>
      </c>
      <c r="I253" t="s">
        <v>387</v>
      </c>
      <c r="J253" t="s">
        <v>394</v>
      </c>
      <c r="K253" s="1">
        <v>41547</v>
      </c>
      <c r="L253" t="s">
        <v>399</v>
      </c>
      <c r="M253" t="s">
        <v>410</v>
      </c>
      <c r="N253" t="s">
        <v>430</v>
      </c>
      <c r="O253" s="2">
        <f t="shared" ca="1" si="3"/>
        <v>50</v>
      </c>
    </row>
    <row r="254" spans="1:15" x14ac:dyDescent="0.3">
      <c r="A254" t="s">
        <v>253</v>
      </c>
      <c r="B254">
        <v>10179</v>
      </c>
      <c r="C254" s="4">
        <v>50750</v>
      </c>
      <c r="D254" t="s">
        <v>334</v>
      </c>
      <c r="E254" t="s">
        <v>348</v>
      </c>
      <c r="F254" s="1">
        <v>29690</v>
      </c>
      <c r="G254" t="s">
        <v>379</v>
      </c>
      <c r="H254" t="s">
        <v>382</v>
      </c>
      <c r="I254" t="s">
        <v>387</v>
      </c>
      <c r="J254" t="s">
        <v>391</v>
      </c>
      <c r="K254" s="1">
        <v>41912</v>
      </c>
      <c r="L254" t="s">
        <v>400</v>
      </c>
      <c r="M254" t="s">
        <v>415</v>
      </c>
      <c r="N254" t="s">
        <v>428</v>
      </c>
      <c r="O254" s="2">
        <f t="shared" ca="1" si="3"/>
        <v>43</v>
      </c>
    </row>
    <row r="255" spans="1:15" x14ac:dyDescent="0.3">
      <c r="A255" t="s">
        <v>254</v>
      </c>
      <c r="B255">
        <v>10091</v>
      </c>
      <c r="C255" s="4">
        <v>52087</v>
      </c>
      <c r="D255" t="s">
        <v>315</v>
      </c>
      <c r="E255" t="s">
        <v>348</v>
      </c>
      <c r="F255" s="1">
        <v>31283</v>
      </c>
      <c r="G255" t="s">
        <v>379</v>
      </c>
      <c r="H255" t="s">
        <v>382</v>
      </c>
      <c r="I255" t="s">
        <v>387</v>
      </c>
      <c r="J255" t="s">
        <v>391</v>
      </c>
      <c r="K255" s="1">
        <v>41505</v>
      </c>
      <c r="L255" t="s">
        <v>399</v>
      </c>
      <c r="M255" t="s">
        <v>411</v>
      </c>
      <c r="N255" t="s">
        <v>428</v>
      </c>
      <c r="O255" s="2">
        <f t="shared" ca="1" si="3"/>
        <v>39</v>
      </c>
    </row>
    <row r="256" spans="1:15" x14ac:dyDescent="0.3">
      <c r="A256" t="s">
        <v>255</v>
      </c>
      <c r="B256">
        <v>10178</v>
      </c>
      <c r="C256" s="4">
        <v>87826</v>
      </c>
      <c r="D256" t="s">
        <v>320</v>
      </c>
      <c r="E256" t="s">
        <v>348</v>
      </c>
      <c r="F256" s="1">
        <v>25607</v>
      </c>
      <c r="G256" t="s">
        <v>378</v>
      </c>
      <c r="H256" t="s">
        <v>382</v>
      </c>
      <c r="I256" t="s">
        <v>387</v>
      </c>
      <c r="J256" t="s">
        <v>391</v>
      </c>
      <c r="K256" s="1">
        <v>42009</v>
      </c>
      <c r="L256" t="s">
        <v>400</v>
      </c>
      <c r="M256" t="s">
        <v>407</v>
      </c>
      <c r="N256" t="s">
        <v>431</v>
      </c>
      <c r="O256" s="2">
        <f t="shared" ca="1" si="3"/>
        <v>55</v>
      </c>
    </row>
    <row r="257" spans="1:15" x14ac:dyDescent="0.3">
      <c r="A257" t="s">
        <v>256</v>
      </c>
      <c r="B257">
        <v>10039</v>
      </c>
      <c r="C257" s="4">
        <v>51920</v>
      </c>
      <c r="D257" t="s">
        <v>337</v>
      </c>
      <c r="E257" t="s">
        <v>348</v>
      </c>
      <c r="F257" s="1">
        <v>32282</v>
      </c>
      <c r="G257" t="s">
        <v>379</v>
      </c>
      <c r="H257" t="s">
        <v>381</v>
      </c>
      <c r="I257" t="s">
        <v>387</v>
      </c>
      <c r="J257" t="s">
        <v>391</v>
      </c>
      <c r="K257" s="1">
        <v>42125</v>
      </c>
      <c r="L257" t="s">
        <v>402</v>
      </c>
      <c r="M257" t="s">
        <v>418</v>
      </c>
      <c r="N257" t="s">
        <v>435</v>
      </c>
      <c r="O257" s="2">
        <f t="shared" ca="1" si="3"/>
        <v>36</v>
      </c>
    </row>
    <row r="258" spans="1:15" x14ac:dyDescent="0.3">
      <c r="A258" t="s">
        <v>257</v>
      </c>
      <c r="B258">
        <v>10095</v>
      </c>
      <c r="C258" s="4">
        <v>63878</v>
      </c>
      <c r="D258" t="s">
        <v>317</v>
      </c>
      <c r="E258" t="s">
        <v>348</v>
      </c>
      <c r="F258" s="1">
        <v>32106</v>
      </c>
      <c r="G258" t="s">
        <v>379</v>
      </c>
      <c r="H258" t="s">
        <v>381</v>
      </c>
      <c r="I258" t="s">
        <v>387</v>
      </c>
      <c r="J258" t="s">
        <v>391</v>
      </c>
      <c r="K258" s="1">
        <v>40112</v>
      </c>
      <c r="L258" t="s">
        <v>399</v>
      </c>
      <c r="M258" t="s">
        <v>406</v>
      </c>
      <c r="N258" t="s">
        <v>434</v>
      </c>
      <c r="O258" s="2">
        <f t="shared" ca="1" si="3"/>
        <v>37</v>
      </c>
    </row>
    <row r="259" spans="1:15" x14ac:dyDescent="0.3">
      <c r="A259" t="s">
        <v>258</v>
      </c>
      <c r="B259">
        <v>10027</v>
      </c>
      <c r="C259" s="4">
        <v>60656</v>
      </c>
      <c r="D259" t="s">
        <v>317</v>
      </c>
      <c r="E259" t="s">
        <v>348</v>
      </c>
      <c r="F259" s="1">
        <v>23314</v>
      </c>
      <c r="G259" t="s">
        <v>378</v>
      </c>
      <c r="H259" t="s">
        <v>381</v>
      </c>
      <c r="I259" t="s">
        <v>387</v>
      </c>
      <c r="J259" t="s">
        <v>391</v>
      </c>
      <c r="K259" s="1">
        <v>41911</v>
      </c>
      <c r="L259" t="s">
        <v>399</v>
      </c>
      <c r="M259" t="s">
        <v>409</v>
      </c>
      <c r="N259" t="s">
        <v>429</v>
      </c>
      <c r="O259" s="2">
        <f t="shared" ref="O259:O312" ca="1" si="4">INT(YEARFRAC(F259,TODAY(),1))</f>
        <v>61</v>
      </c>
    </row>
    <row r="260" spans="1:15" x14ac:dyDescent="0.3">
      <c r="A260" t="s">
        <v>259</v>
      </c>
      <c r="B260">
        <v>10291</v>
      </c>
      <c r="C260" s="4">
        <v>72992</v>
      </c>
      <c r="D260" t="s">
        <v>331</v>
      </c>
      <c r="E260" t="s">
        <v>348</v>
      </c>
      <c r="F260" s="1">
        <v>30910</v>
      </c>
      <c r="G260" t="s">
        <v>378</v>
      </c>
      <c r="H260" t="s">
        <v>383</v>
      </c>
      <c r="I260" t="s">
        <v>387</v>
      </c>
      <c r="J260" t="s">
        <v>392</v>
      </c>
      <c r="K260" s="1">
        <v>41777</v>
      </c>
      <c r="L260" t="s">
        <v>403</v>
      </c>
      <c r="M260" t="s">
        <v>424</v>
      </c>
      <c r="N260" t="s">
        <v>432</v>
      </c>
      <c r="O260" s="2">
        <f t="shared" ca="1" si="4"/>
        <v>40</v>
      </c>
    </row>
    <row r="261" spans="1:15" x14ac:dyDescent="0.3">
      <c r="A261" t="s">
        <v>260</v>
      </c>
      <c r="B261">
        <v>10153</v>
      </c>
      <c r="C261" s="4">
        <v>55000</v>
      </c>
      <c r="D261" t="s">
        <v>337</v>
      </c>
      <c r="E261" t="s">
        <v>348</v>
      </c>
      <c r="F261" s="1">
        <v>31942</v>
      </c>
      <c r="G261" t="s">
        <v>379</v>
      </c>
      <c r="H261" t="s">
        <v>382</v>
      </c>
      <c r="I261" t="s">
        <v>387</v>
      </c>
      <c r="J261" t="s">
        <v>392</v>
      </c>
      <c r="K261" s="1">
        <v>40812</v>
      </c>
      <c r="L261" t="s">
        <v>402</v>
      </c>
      <c r="M261" t="s">
        <v>418</v>
      </c>
      <c r="N261" t="s">
        <v>432</v>
      </c>
      <c r="O261" s="2">
        <f t="shared" ca="1" si="4"/>
        <v>37</v>
      </c>
    </row>
    <row r="262" spans="1:15" x14ac:dyDescent="0.3">
      <c r="A262" t="s">
        <v>261</v>
      </c>
      <c r="B262">
        <v>10157</v>
      </c>
      <c r="C262" s="4">
        <v>58939</v>
      </c>
      <c r="D262" t="s">
        <v>315</v>
      </c>
      <c r="E262" t="s">
        <v>348</v>
      </c>
      <c r="F262" s="1">
        <v>23775</v>
      </c>
      <c r="G262" t="s">
        <v>379</v>
      </c>
      <c r="H262" t="s">
        <v>381</v>
      </c>
      <c r="I262" t="s">
        <v>387</v>
      </c>
      <c r="J262" t="s">
        <v>391</v>
      </c>
      <c r="K262" s="1">
        <v>41589</v>
      </c>
      <c r="L262" t="s">
        <v>399</v>
      </c>
      <c r="M262" t="s">
        <v>413</v>
      </c>
      <c r="N262" t="s">
        <v>431</v>
      </c>
      <c r="O262" s="2">
        <f t="shared" ca="1" si="4"/>
        <v>60</v>
      </c>
    </row>
    <row r="263" spans="1:15" x14ac:dyDescent="0.3">
      <c r="A263" t="s">
        <v>262</v>
      </c>
      <c r="B263">
        <v>10119</v>
      </c>
      <c r="C263" s="4">
        <v>66593</v>
      </c>
      <c r="D263" t="s">
        <v>319</v>
      </c>
      <c r="E263" t="s">
        <v>348</v>
      </c>
      <c r="F263" s="1">
        <v>26735</v>
      </c>
      <c r="G263" t="s">
        <v>379</v>
      </c>
      <c r="H263" t="s">
        <v>382</v>
      </c>
      <c r="I263" t="s">
        <v>387</v>
      </c>
      <c r="J263" t="s">
        <v>392</v>
      </c>
      <c r="K263" s="1">
        <v>40704</v>
      </c>
      <c r="L263" t="s">
        <v>400</v>
      </c>
      <c r="M263" t="s">
        <v>423</v>
      </c>
      <c r="N263" t="s">
        <v>428</v>
      </c>
      <c r="O263" s="2">
        <f t="shared" ca="1" si="4"/>
        <v>52</v>
      </c>
    </row>
    <row r="264" spans="1:15" x14ac:dyDescent="0.3">
      <c r="A264" t="s">
        <v>263</v>
      </c>
      <c r="B264">
        <v>10180</v>
      </c>
      <c r="C264" s="4">
        <v>87565</v>
      </c>
      <c r="D264" t="s">
        <v>330</v>
      </c>
      <c r="E264" t="s">
        <v>348</v>
      </c>
      <c r="F264" s="1">
        <v>30356</v>
      </c>
      <c r="G264" t="s">
        <v>378</v>
      </c>
      <c r="H264" t="s">
        <v>382</v>
      </c>
      <c r="I264" t="s">
        <v>387</v>
      </c>
      <c r="J264" t="s">
        <v>394</v>
      </c>
      <c r="K264" s="1">
        <v>42551</v>
      </c>
      <c r="L264" t="s">
        <v>400</v>
      </c>
      <c r="M264" t="s">
        <v>415</v>
      </c>
      <c r="N264" t="s">
        <v>428</v>
      </c>
      <c r="O264" s="2">
        <f t="shared" ca="1" si="4"/>
        <v>42</v>
      </c>
    </row>
    <row r="265" spans="1:15" x14ac:dyDescent="0.3">
      <c r="A265" t="s">
        <v>264</v>
      </c>
      <c r="B265">
        <v>10302</v>
      </c>
      <c r="C265" s="4">
        <v>64021</v>
      </c>
      <c r="D265" t="s">
        <v>315</v>
      </c>
      <c r="E265" t="s">
        <v>348</v>
      </c>
      <c r="F265" s="1">
        <v>25039</v>
      </c>
      <c r="G265" t="s">
        <v>379</v>
      </c>
      <c r="H265" t="s">
        <v>382</v>
      </c>
      <c r="I265" t="s">
        <v>387</v>
      </c>
      <c r="J265" t="s">
        <v>391</v>
      </c>
      <c r="K265" s="1">
        <v>40959</v>
      </c>
      <c r="L265" t="s">
        <v>399</v>
      </c>
      <c r="M265" t="s">
        <v>414</v>
      </c>
      <c r="N265" t="s">
        <v>429</v>
      </c>
      <c r="O265" s="2">
        <f t="shared" ca="1" si="4"/>
        <v>56</v>
      </c>
    </row>
    <row r="266" spans="1:15" x14ac:dyDescent="0.3">
      <c r="A266" t="s">
        <v>265</v>
      </c>
      <c r="B266">
        <v>10090</v>
      </c>
      <c r="C266" s="4">
        <v>65714</v>
      </c>
      <c r="D266" t="s">
        <v>324</v>
      </c>
      <c r="E266" t="s">
        <v>348</v>
      </c>
      <c r="F266" s="1">
        <v>27667</v>
      </c>
      <c r="G266" t="s">
        <v>379</v>
      </c>
      <c r="H266" t="s">
        <v>382</v>
      </c>
      <c r="I266" t="s">
        <v>387</v>
      </c>
      <c r="J266" t="s">
        <v>391</v>
      </c>
      <c r="K266" s="1">
        <v>41184</v>
      </c>
      <c r="L266" t="s">
        <v>399</v>
      </c>
      <c r="M266" t="s">
        <v>419</v>
      </c>
      <c r="N266" t="s">
        <v>428</v>
      </c>
      <c r="O266" s="2">
        <f t="shared" ca="1" si="4"/>
        <v>49</v>
      </c>
    </row>
    <row r="267" spans="1:15" x14ac:dyDescent="0.3">
      <c r="A267" t="s">
        <v>266</v>
      </c>
      <c r="B267">
        <v>10030</v>
      </c>
      <c r="C267" s="4">
        <v>62425</v>
      </c>
      <c r="D267" t="s">
        <v>315</v>
      </c>
      <c r="E267" t="s">
        <v>348</v>
      </c>
      <c r="F267" s="1">
        <v>26749</v>
      </c>
      <c r="G267" t="s">
        <v>379</v>
      </c>
      <c r="H267" t="s">
        <v>383</v>
      </c>
      <c r="I267" t="s">
        <v>387</v>
      </c>
      <c r="J267" t="s">
        <v>391</v>
      </c>
      <c r="K267" s="1">
        <v>41407</v>
      </c>
      <c r="L267" t="s">
        <v>399</v>
      </c>
      <c r="M267" t="s">
        <v>416</v>
      </c>
      <c r="N267" t="s">
        <v>428</v>
      </c>
      <c r="O267" s="2">
        <f t="shared" ca="1" si="4"/>
        <v>52</v>
      </c>
    </row>
    <row r="268" spans="1:15" x14ac:dyDescent="0.3">
      <c r="A268" t="s">
        <v>267</v>
      </c>
      <c r="B268">
        <v>10278</v>
      </c>
      <c r="C268" s="4">
        <v>47961</v>
      </c>
      <c r="D268" t="s">
        <v>315</v>
      </c>
      <c r="E268" t="s">
        <v>348</v>
      </c>
      <c r="F268" s="1">
        <v>30188</v>
      </c>
      <c r="G268" t="s">
        <v>379</v>
      </c>
      <c r="H268" t="s">
        <v>383</v>
      </c>
      <c r="I268" t="s">
        <v>387</v>
      </c>
      <c r="J268" t="s">
        <v>393</v>
      </c>
      <c r="K268" s="1">
        <v>40553</v>
      </c>
      <c r="L268" t="s">
        <v>399</v>
      </c>
      <c r="M268" t="s">
        <v>408</v>
      </c>
      <c r="N268" t="s">
        <v>430</v>
      </c>
      <c r="O268" s="2">
        <f t="shared" ca="1" si="4"/>
        <v>42</v>
      </c>
    </row>
    <row r="269" spans="1:15" x14ac:dyDescent="0.3">
      <c r="A269" t="s">
        <v>268</v>
      </c>
      <c r="B269">
        <v>10307</v>
      </c>
      <c r="C269" s="4">
        <v>58273</v>
      </c>
      <c r="D269" t="s">
        <v>326</v>
      </c>
      <c r="E269" t="s">
        <v>370</v>
      </c>
      <c r="F269" s="1">
        <v>27158</v>
      </c>
      <c r="G269" t="s">
        <v>378</v>
      </c>
      <c r="H269" t="s">
        <v>382</v>
      </c>
      <c r="I269" t="s">
        <v>387</v>
      </c>
      <c r="J269" t="s">
        <v>391</v>
      </c>
      <c r="K269" s="1">
        <v>41771</v>
      </c>
      <c r="L269" t="s">
        <v>403</v>
      </c>
      <c r="M269" t="s">
        <v>422</v>
      </c>
      <c r="N269" t="s">
        <v>435</v>
      </c>
      <c r="O269" s="2">
        <f t="shared" ca="1" si="4"/>
        <v>50</v>
      </c>
    </row>
    <row r="270" spans="1:15" x14ac:dyDescent="0.3">
      <c r="A270" t="s">
        <v>269</v>
      </c>
      <c r="B270">
        <v>10147</v>
      </c>
      <c r="C270" s="4">
        <v>63003</v>
      </c>
      <c r="D270" t="s">
        <v>325</v>
      </c>
      <c r="E270" t="s">
        <v>348</v>
      </c>
      <c r="F270" s="1">
        <v>31656</v>
      </c>
      <c r="G270" t="s">
        <v>378</v>
      </c>
      <c r="H270" t="s">
        <v>381</v>
      </c>
      <c r="I270" t="s">
        <v>387</v>
      </c>
      <c r="J270" t="s">
        <v>391</v>
      </c>
      <c r="K270" s="1">
        <v>41911</v>
      </c>
      <c r="L270" t="s">
        <v>402</v>
      </c>
      <c r="M270" t="s">
        <v>418</v>
      </c>
      <c r="N270" t="s">
        <v>429</v>
      </c>
      <c r="O270" s="2">
        <f t="shared" ca="1" si="4"/>
        <v>38</v>
      </c>
    </row>
    <row r="271" spans="1:15" x14ac:dyDescent="0.3">
      <c r="A271" t="s">
        <v>270</v>
      </c>
      <c r="B271">
        <v>10266</v>
      </c>
      <c r="C271" s="4">
        <v>61355</v>
      </c>
      <c r="D271" t="s">
        <v>315</v>
      </c>
      <c r="E271" t="s">
        <v>348</v>
      </c>
      <c r="F271" s="1">
        <v>31120</v>
      </c>
      <c r="G271" t="s">
        <v>378</v>
      </c>
      <c r="H271" t="s">
        <v>382</v>
      </c>
      <c r="I271" t="s">
        <v>387</v>
      </c>
      <c r="J271" t="s">
        <v>394</v>
      </c>
      <c r="K271" s="1">
        <v>41687</v>
      </c>
      <c r="L271" t="s">
        <v>399</v>
      </c>
      <c r="M271" t="s">
        <v>417</v>
      </c>
      <c r="N271" t="s">
        <v>428</v>
      </c>
      <c r="O271" s="2">
        <f t="shared" ca="1" si="4"/>
        <v>40</v>
      </c>
    </row>
    <row r="272" spans="1:15" x14ac:dyDescent="0.3">
      <c r="A272" t="s">
        <v>271</v>
      </c>
      <c r="B272">
        <v>10241</v>
      </c>
      <c r="C272" s="4">
        <v>60120</v>
      </c>
      <c r="D272" t="s">
        <v>326</v>
      </c>
      <c r="E272" t="s">
        <v>371</v>
      </c>
      <c r="F272" s="1">
        <v>32640</v>
      </c>
      <c r="G272" t="s">
        <v>379</v>
      </c>
      <c r="H272" t="s">
        <v>382</v>
      </c>
      <c r="I272" t="s">
        <v>387</v>
      </c>
      <c r="J272" t="s">
        <v>392</v>
      </c>
      <c r="K272" s="1">
        <v>40448</v>
      </c>
      <c r="L272" t="s">
        <v>403</v>
      </c>
      <c r="M272" t="s">
        <v>420</v>
      </c>
      <c r="N272" t="s">
        <v>429</v>
      </c>
      <c r="O272" s="2">
        <f t="shared" ca="1" si="4"/>
        <v>35</v>
      </c>
    </row>
    <row r="273" spans="1:15" x14ac:dyDescent="0.3">
      <c r="A273" t="s">
        <v>272</v>
      </c>
      <c r="B273">
        <v>10158</v>
      </c>
      <c r="C273" s="4">
        <v>63682</v>
      </c>
      <c r="D273" t="s">
        <v>324</v>
      </c>
      <c r="E273" t="s">
        <v>348</v>
      </c>
      <c r="F273" s="1">
        <v>28577</v>
      </c>
      <c r="G273" t="s">
        <v>379</v>
      </c>
      <c r="H273" t="s">
        <v>382</v>
      </c>
      <c r="I273" t="s">
        <v>387</v>
      </c>
      <c r="J273" t="s">
        <v>392</v>
      </c>
      <c r="K273" s="1">
        <v>39821</v>
      </c>
      <c r="L273" t="s">
        <v>399</v>
      </c>
      <c r="M273" t="s">
        <v>419</v>
      </c>
      <c r="N273" t="s">
        <v>429</v>
      </c>
      <c r="O273" s="2">
        <f t="shared" ca="1" si="4"/>
        <v>47</v>
      </c>
    </row>
    <row r="274" spans="1:15" x14ac:dyDescent="0.3">
      <c r="A274" t="s">
        <v>273</v>
      </c>
      <c r="B274">
        <v>10117</v>
      </c>
      <c r="C274" s="4">
        <v>63025</v>
      </c>
      <c r="D274" t="s">
        <v>315</v>
      </c>
      <c r="E274" t="s">
        <v>348</v>
      </c>
      <c r="F274" s="1">
        <v>30231</v>
      </c>
      <c r="G274" t="s">
        <v>378</v>
      </c>
      <c r="H274" t="s">
        <v>382</v>
      </c>
      <c r="I274" t="s">
        <v>387</v>
      </c>
      <c r="J274" t="s">
        <v>391</v>
      </c>
      <c r="K274" s="1">
        <v>42009</v>
      </c>
      <c r="L274" t="s">
        <v>399</v>
      </c>
      <c r="M274" t="s">
        <v>406</v>
      </c>
      <c r="N274" t="s">
        <v>430</v>
      </c>
      <c r="O274" s="2">
        <f t="shared" ca="1" si="4"/>
        <v>42</v>
      </c>
    </row>
    <row r="275" spans="1:15" x14ac:dyDescent="0.3">
      <c r="A275" t="s">
        <v>274</v>
      </c>
      <c r="B275">
        <v>10209</v>
      </c>
      <c r="C275" s="4">
        <v>59238</v>
      </c>
      <c r="D275" t="s">
        <v>315</v>
      </c>
      <c r="E275" t="s">
        <v>348</v>
      </c>
      <c r="F275" s="1">
        <v>25065</v>
      </c>
      <c r="G275" t="s">
        <v>379</v>
      </c>
      <c r="H275" t="s">
        <v>381</v>
      </c>
      <c r="I275" t="s">
        <v>388</v>
      </c>
      <c r="J275" t="s">
        <v>394</v>
      </c>
      <c r="K275" s="1">
        <v>41043</v>
      </c>
      <c r="L275" t="s">
        <v>399</v>
      </c>
      <c r="M275" t="s">
        <v>409</v>
      </c>
      <c r="N275" t="s">
        <v>429</v>
      </c>
      <c r="O275" s="2">
        <f t="shared" ca="1" si="4"/>
        <v>56</v>
      </c>
    </row>
    <row r="276" spans="1:15" x14ac:dyDescent="0.3">
      <c r="A276" t="s">
        <v>275</v>
      </c>
      <c r="B276">
        <v>10024</v>
      </c>
      <c r="C276" s="4">
        <v>92989</v>
      </c>
      <c r="D276" t="s">
        <v>318</v>
      </c>
      <c r="E276" t="s">
        <v>348</v>
      </c>
      <c r="F276" s="1">
        <v>30442</v>
      </c>
      <c r="G276" t="s">
        <v>378</v>
      </c>
      <c r="H276" t="s">
        <v>381</v>
      </c>
      <c r="I276" t="s">
        <v>387</v>
      </c>
      <c r="J276" t="s">
        <v>391</v>
      </c>
      <c r="K276" s="1">
        <v>41827</v>
      </c>
      <c r="L276" t="s">
        <v>401</v>
      </c>
      <c r="M276" t="s">
        <v>412</v>
      </c>
      <c r="N276" t="s">
        <v>428</v>
      </c>
      <c r="O276" s="2">
        <f t="shared" ca="1" si="4"/>
        <v>41</v>
      </c>
    </row>
    <row r="277" spans="1:15" x14ac:dyDescent="0.3">
      <c r="A277" t="s">
        <v>276</v>
      </c>
      <c r="B277">
        <v>10173</v>
      </c>
      <c r="C277" s="4">
        <v>90100</v>
      </c>
      <c r="D277" t="s">
        <v>332</v>
      </c>
      <c r="E277" t="s">
        <v>348</v>
      </c>
      <c r="F277" s="1">
        <v>32074</v>
      </c>
      <c r="G277" t="s">
        <v>378</v>
      </c>
      <c r="H277" t="s">
        <v>382</v>
      </c>
      <c r="I277" t="s">
        <v>387</v>
      </c>
      <c r="J277" t="s">
        <v>391</v>
      </c>
      <c r="K277" s="1">
        <v>42845</v>
      </c>
      <c r="L277" t="s">
        <v>400</v>
      </c>
      <c r="M277" t="s">
        <v>425</v>
      </c>
      <c r="N277" t="s">
        <v>429</v>
      </c>
      <c r="O277" s="2">
        <f t="shared" ca="1" si="4"/>
        <v>37</v>
      </c>
    </row>
    <row r="278" spans="1:15" x14ac:dyDescent="0.3">
      <c r="A278" t="s">
        <v>277</v>
      </c>
      <c r="B278">
        <v>10221</v>
      </c>
      <c r="C278" s="4">
        <v>60754</v>
      </c>
      <c r="D278" t="s">
        <v>315</v>
      </c>
      <c r="E278" t="s">
        <v>348</v>
      </c>
      <c r="F278" s="1">
        <v>27487</v>
      </c>
      <c r="G278" t="s">
        <v>379</v>
      </c>
      <c r="H278" t="s">
        <v>382</v>
      </c>
      <c r="I278" t="s">
        <v>389</v>
      </c>
      <c r="J278" t="s">
        <v>392</v>
      </c>
      <c r="K278" s="1">
        <v>39930</v>
      </c>
      <c r="L278" t="s">
        <v>399</v>
      </c>
      <c r="M278" t="s">
        <v>410</v>
      </c>
      <c r="N278" t="s">
        <v>432</v>
      </c>
      <c r="O278" s="2">
        <f t="shared" ca="1" si="4"/>
        <v>49</v>
      </c>
    </row>
    <row r="279" spans="1:15" x14ac:dyDescent="0.3">
      <c r="A279" t="s">
        <v>278</v>
      </c>
      <c r="B279">
        <v>10146</v>
      </c>
      <c r="C279" s="4">
        <v>72202</v>
      </c>
      <c r="D279" t="s">
        <v>317</v>
      </c>
      <c r="E279" t="s">
        <v>348</v>
      </c>
      <c r="F279" s="1">
        <v>19503</v>
      </c>
      <c r="G279" t="s">
        <v>379</v>
      </c>
      <c r="H279" t="s">
        <v>382</v>
      </c>
      <c r="I279" t="s">
        <v>387</v>
      </c>
      <c r="J279" t="s">
        <v>391</v>
      </c>
      <c r="K279" s="1">
        <v>40679</v>
      </c>
      <c r="L279" t="s">
        <v>399</v>
      </c>
      <c r="M279" t="s">
        <v>409</v>
      </c>
      <c r="N279" t="s">
        <v>430</v>
      </c>
      <c r="O279" s="2">
        <f t="shared" ca="1" si="4"/>
        <v>71</v>
      </c>
    </row>
    <row r="280" spans="1:15" x14ac:dyDescent="0.3">
      <c r="A280" t="s">
        <v>279</v>
      </c>
      <c r="B280">
        <v>10161</v>
      </c>
      <c r="C280" s="4">
        <v>58370</v>
      </c>
      <c r="D280" t="s">
        <v>326</v>
      </c>
      <c r="E280" t="s">
        <v>372</v>
      </c>
      <c r="F280" s="1">
        <v>23869</v>
      </c>
      <c r="G280" t="s">
        <v>379</v>
      </c>
      <c r="H280" t="s">
        <v>381</v>
      </c>
      <c r="I280" t="s">
        <v>387</v>
      </c>
      <c r="J280" t="s">
        <v>392</v>
      </c>
      <c r="K280" s="1">
        <v>41911</v>
      </c>
      <c r="L280" t="s">
        <v>403</v>
      </c>
      <c r="M280" t="s">
        <v>422</v>
      </c>
      <c r="N280" t="s">
        <v>429</v>
      </c>
      <c r="O280" s="2">
        <f t="shared" ca="1" si="4"/>
        <v>59</v>
      </c>
    </row>
    <row r="281" spans="1:15" x14ac:dyDescent="0.3">
      <c r="A281" t="s">
        <v>280</v>
      </c>
      <c r="B281">
        <v>10141</v>
      </c>
      <c r="C281" s="4">
        <v>48413</v>
      </c>
      <c r="D281" t="s">
        <v>315</v>
      </c>
      <c r="E281" t="s">
        <v>348</v>
      </c>
      <c r="F281" s="1">
        <v>23871</v>
      </c>
      <c r="G281" t="s">
        <v>379</v>
      </c>
      <c r="H281" t="s">
        <v>381</v>
      </c>
      <c r="I281" t="s">
        <v>387</v>
      </c>
      <c r="J281" t="s">
        <v>391</v>
      </c>
      <c r="K281" s="1">
        <v>40729</v>
      </c>
      <c r="L281" t="s">
        <v>399</v>
      </c>
      <c r="M281" t="s">
        <v>411</v>
      </c>
      <c r="N281" t="s">
        <v>429</v>
      </c>
      <c r="O281" s="2">
        <f t="shared" ca="1" si="4"/>
        <v>59</v>
      </c>
    </row>
    <row r="282" spans="1:15" x14ac:dyDescent="0.3">
      <c r="A282" t="s">
        <v>281</v>
      </c>
      <c r="B282">
        <v>10268</v>
      </c>
      <c r="C282" s="4">
        <v>67176</v>
      </c>
      <c r="D282" t="s">
        <v>317</v>
      </c>
      <c r="E282" t="s">
        <v>348</v>
      </c>
      <c r="F282" s="1">
        <v>27653</v>
      </c>
      <c r="G282" t="s">
        <v>378</v>
      </c>
      <c r="H282" t="s">
        <v>384</v>
      </c>
      <c r="I282" t="s">
        <v>387</v>
      </c>
      <c r="J282" t="s">
        <v>391</v>
      </c>
      <c r="K282" s="1">
        <v>39258</v>
      </c>
      <c r="L282" t="s">
        <v>399</v>
      </c>
      <c r="M282" t="s">
        <v>410</v>
      </c>
      <c r="N282" t="s">
        <v>436</v>
      </c>
      <c r="O282" s="2">
        <f t="shared" ca="1" si="4"/>
        <v>49</v>
      </c>
    </row>
    <row r="283" spans="1:15" x14ac:dyDescent="0.3">
      <c r="A283" t="s">
        <v>282</v>
      </c>
      <c r="B283">
        <v>10123</v>
      </c>
      <c r="C283" s="4">
        <v>56339</v>
      </c>
      <c r="D283" t="s">
        <v>315</v>
      </c>
      <c r="E283" t="s">
        <v>348</v>
      </c>
      <c r="F283" s="1">
        <v>24628</v>
      </c>
      <c r="G283" t="s">
        <v>379</v>
      </c>
      <c r="H283" t="s">
        <v>383</v>
      </c>
      <c r="I283" t="s">
        <v>387</v>
      </c>
      <c r="J283" t="s">
        <v>392</v>
      </c>
      <c r="K283" s="1">
        <v>41323</v>
      </c>
      <c r="L283" t="s">
        <v>399</v>
      </c>
      <c r="M283" t="s">
        <v>414</v>
      </c>
      <c r="N283" t="s">
        <v>429</v>
      </c>
      <c r="O283" s="2">
        <f t="shared" ca="1" si="4"/>
        <v>57</v>
      </c>
    </row>
    <row r="284" spans="1:15" x14ac:dyDescent="0.3">
      <c r="A284" t="s">
        <v>283</v>
      </c>
      <c r="B284">
        <v>10013</v>
      </c>
      <c r="C284" s="4">
        <v>64397</v>
      </c>
      <c r="D284" t="s">
        <v>326</v>
      </c>
      <c r="E284" t="s">
        <v>373</v>
      </c>
      <c r="F284" s="1">
        <v>24852</v>
      </c>
      <c r="G284" t="s">
        <v>378</v>
      </c>
      <c r="H284" t="s">
        <v>385</v>
      </c>
      <c r="I284" t="s">
        <v>387</v>
      </c>
      <c r="J284" t="s">
        <v>391</v>
      </c>
      <c r="K284" s="1">
        <v>38726</v>
      </c>
      <c r="L284" t="s">
        <v>403</v>
      </c>
      <c r="M284" t="s">
        <v>422</v>
      </c>
      <c r="N284" t="s">
        <v>429</v>
      </c>
      <c r="O284" s="2">
        <f t="shared" ca="1" si="4"/>
        <v>57</v>
      </c>
    </row>
    <row r="285" spans="1:15" x14ac:dyDescent="0.3">
      <c r="A285" t="s">
        <v>284</v>
      </c>
      <c r="B285">
        <v>10287</v>
      </c>
      <c r="C285" s="4">
        <v>63025</v>
      </c>
      <c r="D285" t="s">
        <v>315</v>
      </c>
      <c r="E285" t="s">
        <v>348</v>
      </c>
      <c r="F285" s="1">
        <v>30452</v>
      </c>
      <c r="G285" t="s">
        <v>379</v>
      </c>
      <c r="H285" t="s">
        <v>381</v>
      </c>
      <c r="I285" t="s">
        <v>387</v>
      </c>
      <c r="J285" t="s">
        <v>391</v>
      </c>
      <c r="K285" s="1">
        <v>41687</v>
      </c>
      <c r="L285" t="s">
        <v>399</v>
      </c>
      <c r="M285" t="s">
        <v>416</v>
      </c>
      <c r="N285" t="s">
        <v>428</v>
      </c>
      <c r="O285" s="2">
        <f t="shared" ca="1" si="4"/>
        <v>41</v>
      </c>
    </row>
    <row r="286" spans="1:15" x14ac:dyDescent="0.3">
      <c r="A286" t="s">
        <v>285</v>
      </c>
      <c r="B286">
        <v>10044</v>
      </c>
      <c r="C286" s="4">
        <v>75281</v>
      </c>
      <c r="D286" t="s">
        <v>334</v>
      </c>
      <c r="E286" t="s">
        <v>348</v>
      </c>
      <c r="F286" s="1">
        <v>32268</v>
      </c>
      <c r="G286" t="s">
        <v>378</v>
      </c>
      <c r="H286" t="s">
        <v>382</v>
      </c>
      <c r="I286" t="s">
        <v>387</v>
      </c>
      <c r="J286" t="s">
        <v>391</v>
      </c>
      <c r="K286" s="1">
        <v>42009</v>
      </c>
      <c r="L286" t="s">
        <v>400</v>
      </c>
      <c r="M286" t="s">
        <v>415</v>
      </c>
      <c r="N286" t="s">
        <v>434</v>
      </c>
      <c r="O286" s="2">
        <f t="shared" ca="1" si="4"/>
        <v>36</v>
      </c>
    </row>
    <row r="287" spans="1:15" x14ac:dyDescent="0.3">
      <c r="A287" t="s">
        <v>286</v>
      </c>
      <c r="B287">
        <v>10102</v>
      </c>
      <c r="C287" s="4">
        <v>100416</v>
      </c>
      <c r="D287" t="s">
        <v>318</v>
      </c>
      <c r="E287" t="s">
        <v>348</v>
      </c>
      <c r="F287" s="1">
        <v>30481</v>
      </c>
      <c r="G287" t="s">
        <v>378</v>
      </c>
      <c r="H287" t="s">
        <v>381</v>
      </c>
      <c r="I287" t="s">
        <v>389</v>
      </c>
      <c r="J287" t="s">
        <v>392</v>
      </c>
      <c r="K287" s="1">
        <v>41323</v>
      </c>
      <c r="L287" t="s">
        <v>401</v>
      </c>
      <c r="M287" t="s">
        <v>412</v>
      </c>
      <c r="N287" t="s">
        <v>432</v>
      </c>
      <c r="O287" s="2">
        <f t="shared" ca="1" si="4"/>
        <v>41</v>
      </c>
    </row>
    <row r="288" spans="1:15" x14ac:dyDescent="0.3">
      <c r="A288" t="s">
        <v>287</v>
      </c>
      <c r="B288">
        <v>10270</v>
      </c>
      <c r="C288" s="4">
        <v>74813</v>
      </c>
      <c r="D288" t="s">
        <v>317</v>
      </c>
      <c r="E288" t="s">
        <v>348</v>
      </c>
      <c r="F288" s="1">
        <v>31121</v>
      </c>
      <c r="G288" t="s">
        <v>379</v>
      </c>
      <c r="H288" t="s">
        <v>381</v>
      </c>
      <c r="I288" t="s">
        <v>387</v>
      </c>
      <c r="J288" t="s">
        <v>391</v>
      </c>
      <c r="K288" s="1">
        <v>40553</v>
      </c>
      <c r="L288" t="s">
        <v>399</v>
      </c>
      <c r="M288" t="s">
        <v>411</v>
      </c>
      <c r="N288" t="s">
        <v>428</v>
      </c>
      <c r="O288" s="2">
        <f t="shared" ca="1" si="4"/>
        <v>40</v>
      </c>
    </row>
    <row r="289" spans="1:15" x14ac:dyDescent="0.3">
      <c r="A289" t="s">
        <v>288</v>
      </c>
      <c r="B289">
        <v>10045</v>
      </c>
      <c r="C289" s="4">
        <v>76029</v>
      </c>
      <c r="D289" t="s">
        <v>334</v>
      </c>
      <c r="E289" t="s">
        <v>348</v>
      </c>
      <c r="F289" s="1">
        <v>25293</v>
      </c>
      <c r="G289" t="s">
        <v>378</v>
      </c>
      <c r="H289" t="s">
        <v>382</v>
      </c>
      <c r="I289" t="s">
        <v>388</v>
      </c>
      <c r="J289" t="s">
        <v>391</v>
      </c>
      <c r="K289" s="1">
        <v>42093</v>
      </c>
      <c r="L289" t="s">
        <v>400</v>
      </c>
      <c r="M289" t="s">
        <v>415</v>
      </c>
      <c r="N289" t="s">
        <v>431</v>
      </c>
      <c r="O289" s="2">
        <f t="shared" ca="1" si="4"/>
        <v>55</v>
      </c>
    </row>
    <row r="290" spans="1:15" x14ac:dyDescent="0.3">
      <c r="A290" t="s">
        <v>289</v>
      </c>
      <c r="B290">
        <v>10205</v>
      </c>
      <c r="C290" s="4">
        <v>57859</v>
      </c>
      <c r="D290" t="s">
        <v>326</v>
      </c>
      <c r="E290" t="s">
        <v>374</v>
      </c>
      <c r="F290" s="1">
        <v>33381</v>
      </c>
      <c r="G290" t="s">
        <v>379</v>
      </c>
      <c r="H290" t="s">
        <v>382</v>
      </c>
      <c r="I290" t="s">
        <v>387</v>
      </c>
      <c r="J290" t="s">
        <v>393</v>
      </c>
      <c r="K290" s="1">
        <v>40729</v>
      </c>
      <c r="L290" t="s">
        <v>403</v>
      </c>
      <c r="M290" t="s">
        <v>420</v>
      </c>
      <c r="N290" t="s">
        <v>429</v>
      </c>
      <c r="O290" s="2">
        <f t="shared" ca="1" si="4"/>
        <v>33</v>
      </c>
    </row>
    <row r="291" spans="1:15" x14ac:dyDescent="0.3">
      <c r="A291" t="s">
        <v>290</v>
      </c>
      <c r="B291">
        <v>10014</v>
      </c>
      <c r="C291" s="4">
        <v>58523</v>
      </c>
      <c r="D291" t="s">
        <v>315</v>
      </c>
      <c r="E291" t="s">
        <v>348</v>
      </c>
      <c r="F291" s="1">
        <v>31808</v>
      </c>
      <c r="G291" t="s">
        <v>378</v>
      </c>
      <c r="H291" t="s">
        <v>383</v>
      </c>
      <c r="I291" t="s">
        <v>387</v>
      </c>
      <c r="J291" t="s">
        <v>391</v>
      </c>
      <c r="K291" s="1">
        <v>41134</v>
      </c>
      <c r="L291" t="s">
        <v>399</v>
      </c>
      <c r="M291" t="s">
        <v>408</v>
      </c>
      <c r="N291" t="s">
        <v>428</v>
      </c>
      <c r="O291" s="2">
        <f t="shared" ca="1" si="4"/>
        <v>38</v>
      </c>
    </row>
    <row r="292" spans="1:15" x14ac:dyDescent="0.3">
      <c r="A292" t="s">
        <v>291</v>
      </c>
      <c r="B292">
        <v>10144</v>
      </c>
      <c r="C292" s="4">
        <v>88976</v>
      </c>
      <c r="D292" t="s">
        <v>324</v>
      </c>
      <c r="E292" t="s">
        <v>348</v>
      </c>
      <c r="F292" s="1">
        <v>25121</v>
      </c>
      <c r="G292" t="s">
        <v>378</v>
      </c>
      <c r="H292" t="s">
        <v>383</v>
      </c>
      <c r="I292" t="s">
        <v>387</v>
      </c>
      <c r="J292" t="s">
        <v>391</v>
      </c>
      <c r="K292" s="1">
        <v>40756</v>
      </c>
      <c r="L292" t="s">
        <v>399</v>
      </c>
      <c r="M292" t="s">
        <v>419</v>
      </c>
      <c r="N292" t="s">
        <v>431</v>
      </c>
      <c r="O292" s="2">
        <f t="shared" ca="1" si="4"/>
        <v>56</v>
      </c>
    </row>
    <row r="293" spans="1:15" x14ac:dyDescent="0.3">
      <c r="A293" t="s">
        <v>292</v>
      </c>
      <c r="B293">
        <v>10253</v>
      </c>
      <c r="C293" s="4">
        <v>55875</v>
      </c>
      <c r="D293" t="s">
        <v>326</v>
      </c>
      <c r="E293" t="s">
        <v>375</v>
      </c>
      <c r="F293" s="1">
        <v>32700</v>
      </c>
      <c r="G293" t="s">
        <v>378</v>
      </c>
      <c r="H293" t="s">
        <v>381</v>
      </c>
      <c r="I293" t="s">
        <v>387</v>
      </c>
      <c r="J293" t="s">
        <v>394</v>
      </c>
      <c r="K293" s="1">
        <v>40973</v>
      </c>
      <c r="L293" t="s">
        <v>403</v>
      </c>
      <c r="M293" t="s">
        <v>420</v>
      </c>
      <c r="N293" t="s">
        <v>435</v>
      </c>
      <c r="O293" s="2">
        <f t="shared" ca="1" si="4"/>
        <v>35</v>
      </c>
    </row>
    <row r="294" spans="1:15" x14ac:dyDescent="0.3">
      <c r="A294" t="s">
        <v>293</v>
      </c>
      <c r="B294">
        <v>10118</v>
      </c>
      <c r="C294" s="4">
        <v>113999</v>
      </c>
      <c r="D294" t="s">
        <v>321</v>
      </c>
      <c r="E294" t="s">
        <v>348</v>
      </c>
      <c r="F294" s="1">
        <v>31631</v>
      </c>
      <c r="G294" t="s">
        <v>378</v>
      </c>
      <c r="H294" t="s">
        <v>382</v>
      </c>
      <c r="I294" t="s">
        <v>387</v>
      </c>
      <c r="J294" t="s">
        <v>392</v>
      </c>
      <c r="K294" s="1">
        <v>42051</v>
      </c>
      <c r="L294" t="s">
        <v>400</v>
      </c>
      <c r="M294" t="s">
        <v>407</v>
      </c>
      <c r="N294" t="s">
        <v>431</v>
      </c>
      <c r="O294" s="2">
        <f t="shared" ca="1" si="4"/>
        <v>38</v>
      </c>
    </row>
    <row r="295" spans="1:15" x14ac:dyDescent="0.3">
      <c r="A295" t="s">
        <v>294</v>
      </c>
      <c r="B295">
        <v>10022</v>
      </c>
      <c r="C295" s="4">
        <v>49773</v>
      </c>
      <c r="D295" t="s">
        <v>315</v>
      </c>
      <c r="E295" t="s">
        <v>348</v>
      </c>
      <c r="F295" s="1">
        <v>31566</v>
      </c>
      <c r="G295" t="s">
        <v>379</v>
      </c>
      <c r="H295" t="s">
        <v>382</v>
      </c>
      <c r="I295" t="s">
        <v>387</v>
      </c>
      <c r="J295" t="s">
        <v>391</v>
      </c>
      <c r="K295" s="1">
        <v>40812</v>
      </c>
      <c r="L295" t="s">
        <v>399</v>
      </c>
      <c r="M295" t="s">
        <v>417</v>
      </c>
      <c r="N295" t="s">
        <v>430</v>
      </c>
      <c r="O295" s="2">
        <f t="shared" ca="1" si="4"/>
        <v>38</v>
      </c>
    </row>
    <row r="296" spans="1:15" x14ac:dyDescent="0.3">
      <c r="A296" t="s">
        <v>295</v>
      </c>
      <c r="B296">
        <v>10183</v>
      </c>
      <c r="C296" s="4">
        <v>62068</v>
      </c>
      <c r="D296" t="s">
        <v>315</v>
      </c>
      <c r="E296" t="s">
        <v>348</v>
      </c>
      <c r="F296" s="1">
        <v>31143</v>
      </c>
      <c r="G296" t="s">
        <v>379</v>
      </c>
      <c r="H296" t="s">
        <v>381</v>
      </c>
      <c r="I296" t="s">
        <v>387</v>
      </c>
      <c r="J296" t="s">
        <v>391</v>
      </c>
      <c r="K296" s="1">
        <v>42190</v>
      </c>
      <c r="L296" t="s">
        <v>399</v>
      </c>
      <c r="M296" t="s">
        <v>406</v>
      </c>
      <c r="N296" t="s">
        <v>428</v>
      </c>
      <c r="O296" s="2">
        <f t="shared" ca="1" si="4"/>
        <v>39</v>
      </c>
    </row>
    <row r="297" spans="1:15" x14ac:dyDescent="0.3">
      <c r="A297" t="s">
        <v>296</v>
      </c>
      <c r="B297">
        <v>10190</v>
      </c>
      <c r="C297" s="4">
        <v>66541</v>
      </c>
      <c r="D297" t="s">
        <v>317</v>
      </c>
      <c r="E297" t="s">
        <v>348</v>
      </c>
      <c r="F297" s="1">
        <v>27800</v>
      </c>
      <c r="G297" t="s">
        <v>378</v>
      </c>
      <c r="H297" t="s">
        <v>381</v>
      </c>
      <c r="I297" t="s">
        <v>387</v>
      </c>
      <c r="J297" t="s">
        <v>392</v>
      </c>
      <c r="K297" s="1">
        <v>41869</v>
      </c>
      <c r="L297" t="s">
        <v>399</v>
      </c>
      <c r="M297" t="s">
        <v>413</v>
      </c>
      <c r="N297" t="s">
        <v>431</v>
      </c>
      <c r="O297" s="2">
        <f t="shared" ca="1" si="4"/>
        <v>49</v>
      </c>
    </row>
    <row r="298" spans="1:15" x14ac:dyDescent="0.3">
      <c r="A298" t="s">
        <v>297</v>
      </c>
      <c r="B298">
        <v>10274</v>
      </c>
      <c r="C298" s="4">
        <v>80512</v>
      </c>
      <c r="D298" t="s">
        <v>324</v>
      </c>
      <c r="E298" t="s">
        <v>348</v>
      </c>
      <c r="F298" s="1">
        <v>20407</v>
      </c>
      <c r="G298" t="s">
        <v>379</v>
      </c>
      <c r="H298" t="s">
        <v>382</v>
      </c>
      <c r="I298" t="s">
        <v>387</v>
      </c>
      <c r="J298" t="s">
        <v>392</v>
      </c>
      <c r="K298" s="1">
        <v>40812</v>
      </c>
      <c r="L298" t="s">
        <v>399</v>
      </c>
      <c r="M298" t="s">
        <v>419</v>
      </c>
      <c r="N298" t="s">
        <v>432</v>
      </c>
      <c r="O298" s="2">
        <f t="shared" ca="1" si="4"/>
        <v>69</v>
      </c>
    </row>
    <row r="299" spans="1:15" x14ac:dyDescent="0.3">
      <c r="A299" t="s">
        <v>298</v>
      </c>
      <c r="B299">
        <v>10293</v>
      </c>
      <c r="C299" s="4">
        <v>50274</v>
      </c>
      <c r="D299" t="s">
        <v>315</v>
      </c>
      <c r="E299" t="s">
        <v>348</v>
      </c>
      <c r="F299" s="1">
        <v>29435</v>
      </c>
      <c r="G299" t="s">
        <v>379</v>
      </c>
      <c r="H299" t="s">
        <v>381</v>
      </c>
      <c r="I299" t="s">
        <v>387</v>
      </c>
      <c r="J299" t="s">
        <v>391</v>
      </c>
      <c r="K299" s="1">
        <v>41134</v>
      </c>
      <c r="L299" t="s">
        <v>399</v>
      </c>
      <c r="M299" t="s">
        <v>409</v>
      </c>
      <c r="N299" t="s">
        <v>434</v>
      </c>
      <c r="O299" s="2">
        <f t="shared" ca="1" si="4"/>
        <v>44</v>
      </c>
    </row>
    <row r="300" spans="1:15" x14ac:dyDescent="0.3">
      <c r="A300" t="s">
        <v>299</v>
      </c>
      <c r="B300">
        <v>10172</v>
      </c>
      <c r="C300" s="4">
        <v>84903</v>
      </c>
      <c r="D300" t="s">
        <v>339</v>
      </c>
      <c r="E300" t="s">
        <v>348</v>
      </c>
      <c r="F300" s="1">
        <v>29775</v>
      </c>
      <c r="G300" t="s">
        <v>378</v>
      </c>
      <c r="H300" t="s">
        <v>381</v>
      </c>
      <c r="I300" t="s">
        <v>387</v>
      </c>
      <c r="J300" t="s">
        <v>394</v>
      </c>
      <c r="K300" s="1">
        <v>42781</v>
      </c>
      <c r="L300" t="s">
        <v>400</v>
      </c>
      <c r="M300" t="s">
        <v>425</v>
      </c>
      <c r="N300" t="s">
        <v>429</v>
      </c>
      <c r="O300" s="2">
        <f t="shared" ca="1" si="4"/>
        <v>43</v>
      </c>
    </row>
    <row r="301" spans="1:15" x14ac:dyDescent="0.3">
      <c r="A301" t="s">
        <v>300</v>
      </c>
      <c r="B301">
        <v>10127</v>
      </c>
      <c r="C301" s="4">
        <v>107226</v>
      </c>
      <c r="D301" t="s">
        <v>330</v>
      </c>
      <c r="E301" t="s">
        <v>348</v>
      </c>
      <c r="F301" s="1">
        <v>28612</v>
      </c>
      <c r="G301" t="s">
        <v>379</v>
      </c>
      <c r="H301" t="s">
        <v>384</v>
      </c>
      <c r="I301" t="s">
        <v>387</v>
      </c>
      <c r="J301" t="s">
        <v>394</v>
      </c>
      <c r="K301" s="1">
        <v>42093</v>
      </c>
      <c r="L301" t="s">
        <v>400</v>
      </c>
      <c r="M301" t="s">
        <v>415</v>
      </c>
      <c r="N301" t="s">
        <v>431</v>
      </c>
      <c r="O301" s="2">
        <f t="shared" ca="1" si="4"/>
        <v>46</v>
      </c>
    </row>
    <row r="302" spans="1:15" x14ac:dyDescent="0.3">
      <c r="A302" t="s">
        <v>301</v>
      </c>
      <c r="B302">
        <v>10072</v>
      </c>
      <c r="C302" s="4">
        <v>58371</v>
      </c>
      <c r="D302" t="s">
        <v>315</v>
      </c>
      <c r="E302" t="s">
        <v>348</v>
      </c>
      <c r="F302" s="1">
        <v>31921</v>
      </c>
      <c r="G302" t="s">
        <v>378</v>
      </c>
      <c r="H302" t="s">
        <v>381</v>
      </c>
      <c r="I302" t="s">
        <v>387</v>
      </c>
      <c r="J302" t="s">
        <v>391</v>
      </c>
      <c r="K302" s="1">
        <v>40553</v>
      </c>
      <c r="L302" t="s">
        <v>399</v>
      </c>
      <c r="M302" t="s">
        <v>410</v>
      </c>
      <c r="N302" t="s">
        <v>428</v>
      </c>
      <c r="O302" s="2">
        <f t="shared" ca="1" si="4"/>
        <v>37</v>
      </c>
    </row>
    <row r="303" spans="1:15" x14ac:dyDescent="0.3">
      <c r="A303" t="s">
        <v>302</v>
      </c>
      <c r="B303">
        <v>10048</v>
      </c>
      <c r="C303" s="4">
        <v>55140</v>
      </c>
      <c r="D303" t="s">
        <v>315</v>
      </c>
      <c r="E303" t="s">
        <v>348</v>
      </c>
      <c r="F303" s="1">
        <v>23994</v>
      </c>
      <c r="G303" t="s">
        <v>378</v>
      </c>
      <c r="H303" t="s">
        <v>382</v>
      </c>
      <c r="I303" t="s">
        <v>388</v>
      </c>
      <c r="J303" t="s">
        <v>391</v>
      </c>
      <c r="K303" s="1">
        <v>40679</v>
      </c>
      <c r="L303" t="s">
        <v>399</v>
      </c>
      <c r="M303" t="s">
        <v>411</v>
      </c>
      <c r="N303" t="s">
        <v>435</v>
      </c>
      <c r="O303" s="2">
        <f t="shared" ca="1" si="4"/>
        <v>59</v>
      </c>
    </row>
    <row r="304" spans="1:15" x14ac:dyDescent="0.3">
      <c r="A304" t="s">
        <v>303</v>
      </c>
      <c r="B304">
        <v>10204</v>
      </c>
      <c r="C304" s="4">
        <v>58062</v>
      </c>
      <c r="D304" t="s">
        <v>315</v>
      </c>
      <c r="E304" t="s">
        <v>348</v>
      </c>
      <c r="F304" s="1">
        <v>30527</v>
      </c>
      <c r="G304" t="s">
        <v>379</v>
      </c>
      <c r="H304" t="s">
        <v>383</v>
      </c>
      <c r="I304" t="s">
        <v>387</v>
      </c>
      <c r="J304" t="s">
        <v>391</v>
      </c>
      <c r="K304" s="1">
        <v>40553</v>
      </c>
      <c r="L304" t="s">
        <v>399</v>
      </c>
      <c r="M304" t="s">
        <v>413</v>
      </c>
      <c r="N304" t="s">
        <v>430</v>
      </c>
      <c r="O304" s="2">
        <f t="shared" ca="1" si="4"/>
        <v>41</v>
      </c>
    </row>
    <row r="305" spans="1:15" x14ac:dyDescent="0.3">
      <c r="A305" t="s">
        <v>304</v>
      </c>
      <c r="B305">
        <v>10264</v>
      </c>
      <c r="C305" s="4">
        <v>59728</v>
      </c>
      <c r="D305" t="s">
        <v>315</v>
      </c>
      <c r="E305" t="s">
        <v>348</v>
      </c>
      <c r="F305" s="1">
        <v>25478</v>
      </c>
      <c r="G305" t="s">
        <v>379</v>
      </c>
      <c r="H305" t="s">
        <v>381</v>
      </c>
      <c r="I305" t="s">
        <v>387</v>
      </c>
      <c r="J305" t="s">
        <v>392</v>
      </c>
      <c r="K305" s="1">
        <v>40917</v>
      </c>
      <c r="L305" t="s">
        <v>399</v>
      </c>
      <c r="M305" t="s">
        <v>413</v>
      </c>
      <c r="N305" t="s">
        <v>432</v>
      </c>
      <c r="O305" s="2">
        <f t="shared" ca="1" si="4"/>
        <v>55</v>
      </c>
    </row>
    <row r="306" spans="1:15" x14ac:dyDescent="0.3">
      <c r="A306" t="s">
        <v>305</v>
      </c>
      <c r="B306">
        <v>10033</v>
      </c>
      <c r="C306" s="4">
        <v>70507</v>
      </c>
      <c r="D306" t="s">
        <v>317</v>
      </c>
      <c r="E306" t="s">
        <v>348</v>
      </c>
      <c r="F306" s="1">
        <v>21496</v>
      </c>
      <c r="G306" t="s">
        <v>378</v>
      </c>
      <c r="H306" t="s">
        <v>381</v>
      </c>
      <c r="I306" t="s">
        <v>387</v>
      </c>
      <c r="J306" t="s">
        <v>391</v>
      </c>
      <c r="K306" s="1">
        <v>41281</v>
      </c>
      <c r="L306" t="s">
        <v>399</v>
      </c>
      <c r="M306" t="s">
        <v>414</v>
      </c>
      <c r="N306" t="s">
        <v>428</v>
      </c>
      <c r="O306" s="2">
        <f t="shared" ca="1" si="4"/>
        <v>66</v>
      </c>
    </row>
    <row r="307" spans="1:15" x14ac:dyDescent="0.3">
      <c r="A307" t="s">
        <v>306</v>
      </c>
      <c r="B307">
        <v>10174</v>
      </c>
      <c r="C307" s="4">
        <v>60446</v>
      </c>
      <c r="D307" t="s">
        <v>317</v>
      </c>
      <c r="E307" t="s">
        <v>348</v>
      </c>
      <c r="F307" s="1">
        <v>31157</v>
      </c>
      <c r="G307" t="s">
        <v>379</v>
      </c>
      <c r="H307" t="s">
        <v>381</v>
      </c>
      <c r="I307" t="s">
        <v>387</v>
      </c>
      <c r="J307" t="s">
        <v>391</v>
      </c>
      <c r="K307" s="1">
        <v>41911</v>
      </c>
      <c r="L307" t="s">
        <v>399</v>
      </c>
      <c r="M307" t="s">
        <v>416</v>
      </c>
      <c r="N307" t="s">
        <v>428</v>
      </c>
      <c r="O307" s="2">
        <f t="shared" ca="1" si="4"/>
        <v>39</v>
      </c>
    </row>
    <row r="308" spans="1:15" x14ac:dyDescent="0.3">
      <c r="A308" t="s">
        <v>307</v>
      </c>
      <c r="B308">
        <v>10135</v>
      </c>
      <c r="C308" s="4">
        <v>65893</v>
      </c>
      <c r="D308" t="s">
        <v>317</v>
      </c>
      <c r="E308" t="s">
        <v>348</v>
      </c>
      <c r="F308" s="1">
        <v>31178</v>
      </c>
      <c r="G308" t="s">
        <v>378</v>
      </c>
      <c r="H308" t="s">
        <v>381</v>
      </c>
      <c r="I308" t="s">
        <v>387</v>
      </c>
      <c r="J308" t="s">
        <v>391</v>
      </c>
      <c r="K308" s="1">
        <v>41827</v>
      </c>
      <c r="L308" t="s">
        <v>399</v>
      </c>
      <c r="M308" t="s">
        <v>408</v>
      </c>
      <c r="N308" t="s">
        <v>428</v>
      </c>
      <c r="O308" s="2">
        <f t="shared" ca="1" si="4"/>
        <v>39</v>
      </c>
    </row>
    <row r="309" spans="1:15" x14ac:dyDescent="0.3">
      <c r="A309" t="s">
        <v>308</v>
      </c>
      <c r="B309">
        <v>10301</v>
      </c>
      <c r="C309" s="4">
        <v>48513</v>
      </c>
      <c r="D309" t="s">
        <v>315</v>
      </c>
      <c r="E309" t="s">
        <v>348</v>
      </c>
      <c r="F309" s="1">
        <v>30075</v>
      </c>
      <c r="G309" t="s">
        <v>379</v>
      </c>
      <c r="H309" t="s">
        <v>381</v>
      </c>
      <c r="I309" t="s">
        <v>387</v>
      </c>
      <c r="J309" t="s">
        <v>394</v>
      </c>
      <c r="K309" s="1">
        <v>39693</v>
      </c>
      <c r="L309" t="s">
        <v>399</v>
      </c>
      <c r="M309" t="s">
        <v>414</v>
      </c>
      <c r="N309" t="s">
        <v>430</v>
      </c>
      <c r="O309" s="2">
        <f t="shared" ca="1" si="4"/>
        <v>42</v>
      </c>
    </row>
    <row r="310" spans="1:15" x14ac:dyDescent="0.3">
      <c r="A310" t="s">
        <v>309</v>
      </c>
      <c r="B310">
        <v>10010</v>
      </c>
      <c r="C310" s="4">
        <v>220450</v>
      </c>
      <c r="D310" t="s">
        <v>346</v>
      </c>
      <c r="E310" t="s">
        <v>348</v>
      </c>
      <c r="F310" s="1">
        <v>29097</v>
      </c>
      <c r="G310" t="s">
        <v>379</v>
      </c>
      <c r="H310" t="s">
        <v>381</v>
      </c>
      <c r="I310" t="s">
        <v>387</v>
      </c>
      <c r="J310" t="s">
        <v>391</v>
      </c>
      <c r="K310" s="1">
        <v>40278</v>
      </c>
      <c r="L310" t="s">
        <v>400</v>
      </c>
      <c r="M310" t="s">
        <v>419</v>
      </c>
      <c r="N310" t="s">
        <v>431</v>
      </c>
      <c r="O310" s="2">
        <f t="shared" ca="1" si="4"/>
        <v>45</v>
      </c>
    </row>
    <row r="311" spans="1:15" x14ac:dyDescent="0.3">
      <c r="A311" t="s">
        <v>310</v>
      </c>
      <c r="B311">
        <v>10043</v>
      </c>
      <c r="C311" s="4">
        <v>89292</v>
      </c>
      <c r="D311" t="s">
        <v>320</v>
      </c>
      <c r="E311" t="s">
        <v>348</v>
      </c>
      <c r="F311" s="1">
        <v>28910</v>
      </c>
      <c r="G311" t="s">
        <v>379</v>
      </c>
      <c r="H311" t="s">
        <v>381</v>
      </c>
      <c r="I311" t="s">
        <v>387</v>
      </c>
      <c r="J311" t="s">
        <v>391</v>
      </c>
      <c r="K311" s="1">
        <v>42093</v>
      </c>
      <c r="L311" t="s">
        <v>400</v>
      </c>
      <c r="M311" t="s">
        <v>407</v>
      </c>
      <c r="N311" t="s">
        <v>431</v>
      </c>
      <c r="O311" s="2">
        <f t="shared" ca="1" si="4"/>
        <v>46</v>
      </c>
    </row>
    <row r="312" spans="1:15" x14ac:dyDescent="0.3">
      <c r="A312" t="s">
        <v>311</v>
      </c>
      <c r="B312">
        <v>10271</v>
      </c>
      <c r="C312" s="4">
        <v>45046</v>
      </c>
      <c r="D312" t="s">
        <v>315</v>
      </c>
      <c r="E312" t="s">
        <v>348</v>
      </c>
      <c r="F312" s="1">
        <v>28719</v>
      </c>
      <c r="G312" t="s">
        <v>379</v>
      </c>
      <c r="H312" t="s">
        <v>384</v>
      </c>
      <c r="I312" t="s">
        <v>387</v>
      </c>
      <c r="J312" t="s">
        <v>394</v>
      </c>
      <c r="K312" s="1">
        <v>41911</v>
      </c>
      <c r="L312" t="s">
        <v>399</v>
      </c>
      <c r="M312" t="s">
        <v>416</v>
      </c>
      <c r="N312" t="s">
        <v>428</v>
      </c>
      <c r="O312" s="2">
        <f t="shared" ca="1" si="4"/>
        <v>46</v>
      </c>
    </row>
    <row r="313" spans="1:15" x14ac:dyDescent="0.3">
      <c r="O313" s="2"/>
    </row>
    <row r="314" spans="1:15" x14ac:dyDescent="0.3">
      <c r="O314"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F876-F24A-4BEB-8E53-02E902A6F56B}">
  <dimension ref="A1:L95"/>
  <sheetViews>
    <sheetView topLeftCell="A7" zoomScale="190" zoomScaleNormal="190" workbookViewId="0">
      <selection activeCell="K21" sqref="K21:L21"/>
    </sheetView>
  </sheetViews>
  <sheetFormatPr defaultRowHeight="14.4" x14ac:dyDescent="0.3"/>
  <cols>
    <col min="1" max="1" width="10" customWidth="1"/>
    <col min="3" max="3" width="10.44140625" customWidth="1"/>
    <col min="6" max="6" width="11.44140625" customWidth="1"/>
    <col min="7" max="7" width="10.6640625" customWidth="1"/>
    <col min="8" max="8" width="9.88671875" customWidth="1"/>
    <col min="9" max="9" width="6.109375" customWidth="1"/>
    <col min="10" max="10" width="10.6640625" bestFit="1" customWidth="1"/>
    <col min="11" max="11" width="11.5546875" customWidth="1"/>
    <col min="12" max="12" width="10.88671875" bestFit="1" customWidth="1"/>
  </cols>
  <sheetData>
    <row r="1" spans="1:12" ht="15.6" thickBot="1" x14ac:dyDescent="0.4">
      <c r="A1" s="6" t="s">
        <v>458</v>
      </c>
      <c r="B1" s="6" t="s">
        <v>459</v>
      </c>
      <c r="C1" s="6" t="s">
        <v>460</v>
      </c>
      <c r="D1" s="6" t="s">
        <v>461</v>
      </c>
      <c r="E1" s="6" t="s">
        <v>462</v>
      </c>
      <c r="F1" s="6" t="s">
        <v>463</v>
      </c>
      <c r="G1" s="6" t="s">
        <v>464</v>
      </c>
      <c r="H1" s="7" t="s">
        <v>637</v>
      </c>
      <c r="I1" s="7" t="s">
        <v>465</v>
      </c>
    </row>
    <row r="2" spans="1:12" ht="15" x14ac:dyDescent="0.35">
      <c r="A2" s="8" t="s">
        <v>466</v>
      </c>
      <c r="B2" s="8" t="s">
        <v>467</v>
      </c>
      <c r="C2" s="8"/>
      <c r="D2" s="8" t="s">
        <v>439</v>
      </c>
      <c r="E2" s="8" t="s">
        <v>468</v>
      </c>
      <c r="F2" s="9">
        <v>28964</v>
      </c>
      <c r="G2" s="8">
        <v>40</v>
      </c>
      <c r="H2" s="8">
        <v>100</v>
      </c>
      <c r="I2">
        <f>G2*H2</f>
        <v>4000</v>
      </c>
      <c r="K2" t="s">
        <v>440</v>
      </c>
      <c r="L2">
        <f>SUM(G2:G95)</f>
        <v>3373</v>
      </c>
    </row>
    <row r="3" spans="1:12" ht="15" x14ac:dyDescent="0.35">
      <c r="A3" s="8" t="s">
        <v>469</v>
      </c>
      <c r="B3" s="8" t="s">
        <v>470</v>
      </c>
      <c r="C3" s="8"/>
      <c r="D3" s="8" t="s">
        <v>439</v>
      </c>
      <c r="E3" s="8" t="s">
        <v>403</v>
      </c>
      <c r="F3" s="9">
        <v>29648</v>
      </c>
      <c r="G3" s="8">
        <v>15.5</v>
      </c>
      <c r="H3" s="8">
        <v>100</v>
      </c>
      <c r="I3">
        <f t="shared" ref="I3:I66" si="0">G3*H3</f>
        <v>1550</v>
      </c>
      <c r="K3" t="s">
        <v>442</v>
      </c>
      <c r="L3" s="2">
        <f>AVERAGE(G2:G95)</f>
        <v>35.882978723404257</v>
      </c>
    </row>
    <row r="4" spans="1:12" ht="15" x14ac:dyDescent="0.35">
      <c r="A4" s="8" t="s">
        <v>471</v>
      </c>
      <c r="B4" s="8" t="s">
        <v>472</v>
      </c>
      <c r="C4" s="8"/>
      <c r="D4" s="8" t="s">
        <v>439</v>
      </c>
      <c r="E4" s="8" t="s">
        <v>403</v>
      </c>
      <c r="F4" s="9">
        <v>29653</v>
      </c>
      <c r="G4" s="8">
        <v>40</v>
      </c>
      <c r="H4" s="8">
        <v>100</v>
      </c>
      <c r="I4">
        <f t="shared" si="0"/>
        <v>4000</v>
      </c>
      <c r="K4" t="s">
        <v>441</v>
      </c>
      <c r="L4">
        <f>COUNT(G2:G95)</f>
        <v>94</v>
      </c>
    </row>
    <row r="5" spans="1:12" ht="15" x14ac:dyDescent="0.35">
      <c r="A5" s="8" t="s">
        <v>473</v>
      </c>
      <c r="B5" s="8" t="s">
        <v>474</v>
      </c>
      <c r="C5" s="8"/>
      <c r="D5" s="8" t="s">
        <v>439</v>
      </c>
      <c r="E5" s="8" t="s">
        <v>403</v>
      </c>
      <c r="F5" s="9">
        <v>29812</v>
      </c>
      <c r="G5" s="8">
        <v>38</v>
      </c>
      <c r="H5" s="8">
        <v>100</v>
      </c>
      <c r="I5">
        <f t="shared" si="0"/>
        <v>3800</v>
      </c>
      <c r="K5" t="s">
        <v>638</v>
      </c>
    </row>
    <row r="6" spans="1:12" ht="15" x14ac:dyDescent="0.35">
      <c r="A6" s="8" t="s">
        <v>473</v>
      </c>
      <c r="B6" s="8" t="s">
        <v>475</v>
      </c>
      <c r="C6" s="8"/>
      <c r="D6" s="8" t="s">
        <v>438</v>
      </c>
      <c r="E6" s="8" t="s">
        <v>476</v>
      </c>
      <c r="F6" s="9">
        <v>29963</v>
      </c>
      <c r="G6" s="8">
        <v>40</v>
      </c>
      <c r="H6" s="8">
        <v>100</v>
      </c>
      <c r="I6">
        <f t="shared" si="0"/>
        <v>4000</v>
      </c>
      <c r="K6" s="11" t="s">
        <v>639</v>
      </c>
      <c r="L6" s="3">
        <f>SUM(I2:I95)</f>
        <v>337300</v>
      </c>
    </row>
    <row r="7" spans="1:12" ht="15" x14ac:dyDescent="0.35">
      <c r="A7" s="8" t="s">
        <v>477</v>
      </c>
      <c r="B7" s="8" t="s">
        <v>478</v>
      </c>
      <c r="C7" s="8"/>
      <c r="D7" s="8" t="s">
        <v>439</v>
      </c>
      <c r="E7" s="8" t="s">
        <v>479</v>
      </c>
      <c r="F7" s="9">
        <v>29999</v>
      </c>
      <c r="G7" s="8">
        <v>40</v>
      </c>
      <c r="H7" s="8">
        <v>100</v>
      </c>
      <c r="I7">
        <f t="shared" si="0"/>
        <v>4000</v>
      </c>
    </row>
    <row r="8" spans="1:12" ht="15" x14ac:dyDescent="0.35">
      <c r="A8" s="8" t="s">
        <v>480</v>
      </c>
      <c r="B8" s="8" t="s">
        <v>481</v>
      </c>
      <c r="C8" s="8"/>
      <c r="D8" s="8" t="s">
        <v>438</v>
      </c>
      <c r="E8" s="8" t="s">
        <v>479</v>
      </c>
      <c r="F8" s="9">
        <v>30139</v>
      </c>
      <c r="G8" s="8">
        <v>40</v>
      </c>
      <c r="H8" s="8">
        <v>100</v>
      </c>
      <c r="I8">
        <f t="shared" si="0"/>
        <v>4000</v>
      </c>
      <c r="J8" s="10"/>
      <c r="K8" t="s">
        <v>456</v>
      </c>
      <c r="L8" s="5"/>
    </row>
    <row r="9" spans="1:12" ht="15" x14ac:dyDescent="0.35">
      <c r="A9" s="8" t="s">
        <v>482</v>
      </c>
      <c r="B9" s="8" t="s">
        <v>483</v>
      </c>
      <c r="C9" s="8"/>
      <c r="D9" s="8" t="s">
        <v>439</v>
      </c>
      <c r="E9" s="8" t="s">
        <v>468</v>
      </c>
      <c r="F9" s="9">
        <v>30421</v>
      </c>
      <c r="G9" s="8">
        <v>40</v>
      </c>
      <c r="H9" s="8">
        <v>100</v>
      </c>
      <c r="I9">
        <f t="shared" si="0"/>
        <v>4000</v>
      </c>
      <c r="K9" t="s">
        <v>456</v>
      </c>
      <c r="L9" s="5"/>
    </row>
    <row r="10" spans="1:12" ht="15" x14ac:dyDescent="0.35">
      <c r="A10" s="8" t="s">
        <v>484</v>
      </c>
      <c r="B10" s="8" t="s">
        <v>485</v>
      </c>
      <c r="C10" s="8"/>
      <c r="D10" s="8" t="s">
        <v>438</v>
      </c>
      <c r="E10" s="8" t="s">
        <v>468</v>
      </c>
      <c r="F10" s="9">
        <v>30479</v>
      </c>
      <c r="G10" s="8">
        <v>40</v>
      </c>
      <c r="H10" s="8">
        <v>100</v>
      </c>
      <c r="I10">
        <f t="shared" si="0"/>
        <v>4000</v>
      </c>
      <c r="K10" t="s">
        <v>456</v>
      </c>
      <c r="L10" s="5"/>
    </row>
    <row r="11" spans="1:12" ht="15" x14ac:dyDescent="0.35">
      <c r="A11" s="8" t="s">
        <v>486</v>
      </c>
      <c r="B11" s="8" t="s">
        <v>487</v>
      </c>
      <c r="C11" s="8"/>
      <c r="D11" s="8" t="s">
        <v>439</v>
      </c>
      <c r="E11" s="8" t="s">
        <v>479</v>
      </c>
      <c r="F11" s="9">
        <v>30484</v>
      </c>
      <c r="G11" s="8">
        <v>38</v>
      </c>
      <c r="H11" s="8">
        <v>100</v>
      </c>
      <c r="I11">
        <f t="shared" si="0"/>
        <v>3800</v>
      </c>
      <c r="K11" t="s">
        <v>456</v>
      </c>
      <c r="L11" s="5"/>
    </row>
    <row r="12" spans="1:12" ht="15" x14ac:dyDescent="0.35">
      <c r="A12" s="8" t="s">
        <v>488</v>
      </c>
      <c r="B12" s="8" t="s">
        <v>489</v>
      </c>
      <c r="C12" s="8"/>
      <c r="D12" s="8" t="s">
        <v>439</v>
      </c>
      <c r="E12" s="8" t="s">
        <v>468</v>
      </c>
      <c r="F12" s="9">
        <v>30577</v>
      </c>
      <c r="G12" s="8">
        <v>40</v>
      </c>
      <c r="H12" s="8">
        <v>100</v>
      </c>
      <c r="I12">
        <f t="shared" si="0"/>
        <v>4000</v>
      </c>
      <c r="K12" t="s">
        <v>450</v>
      </c>
      <c r="L12" t="s">
        <v>440</v>
      </c>
    </row>
    <row r="13" spans="1:12" ht="15" x14ac:dyDescent="0.35">
      <c r="A13" s="8" t="s">
        <v>490</v>
      </c>
      <c r="B13" s="8" t="s">
        <v>491</v>
      </c>
      <c r="C13" s="8"/>
      <c r="D13" s="8" t="s">
        <v>439</v>
      </c>
      <c r="E13" s="8" t="s">
        <v>476</v>
      </c>
      <c r="F13" s="9">
        <v>30648</v>
      </c>
      <c r="G13" s="8">
        <v>40</v>
      </c>
      <c r="H13" s="8">
        <v>100</v>
      </c>
      <c r="I13">
        <f t="shared" si="0"/>
        <v>4000</v>
      </c>
      <c r="K13" t="s">
        <v>450</v>
      </c>
      <c r="L13" t="s">
        <v>441</v>
      </c>
    </row>
    <row r="14" spans="1:12" ht="15" x14ac:dyDescent="0.35">
      <c r="A14" s="8" t="s">
        <v>492</v>
      </c>
      <c r="B14" s="8" t="s">
        <v>493</v>
      </c>
      <c r="C14" s="8"/>
      <c r="D14" s="8" t="s">
        <v>439</v>
      </c>
      <c r="E14" s="8" t="s">
        <v>476</v>
      </c>
      <c r="F14" s="9">
        <v>30714</v>
      </c>
      <c r="G14" s="8">
        <v>40</v>
      </c>
      <c r="H14" s="8">
        <v>100</v>
      </c>
      <c r="I14">
        <f t="shared" si="0"/>
        <v>4000</v>
      </c>
      <c r="K14" t="s">
        <v>450</v>
      </c>
      <c r="L14" t="s">
        <v>442</v>
      </c>
    </row>
    <row r="15" spans="1:12" ht="15" x14ac:dyDescent="0.35">
      <c r="A15" s="8" t="s">
        <v>494</v>
      </c>
      <c r="B15" s="8" t="s">
        <v>495</v>
      </c>
      <c r="C15" s="8"/>
      <c r="D15" s="8" t="s">
        <v>439</v>
      </c>
      <c r="E15" s="8" t="s">
        <v>403</v>
      </c>
      <c r="F15" s="9">
        <v>30726</v>
      </c>
      <c r="G15" s="8">
        <v>40</v>
      </c>
      <c r="H15" s="8">
        <v>100</v>
      </c>
      <c r="I15">
        <f t="shared" si="0"/>
        <v>4000</v>
      </c>
      <c r="K15" t="s">
        <v>450</v>
      </c>
      <c r="L15" t="s">
        <v>443</v>
      </c>
    </row>
    <row r="16" spans="1:12" ht="15" x14ac:dyDescent="0.35">
      <c r="A16" s="8" t="s">
        <v>496</v>
      </c>
      <c r="B16" s="8" t="s">
        <v>497</v>
      </c>
      <c r="C16" s="8"/>
      <c r="D16" s="8" t="s">
        <v>438</v>
      </c>
      <c r="E16" s="8" t="s">
        <v>479</v>
      </c>
      <c r="F16" s="9">
        <v>30729</v>
      </c>
      <c r="G16" s="8">
        <v>25</v>
      </c>
      <c r="H16" s="8">
        <v>100</v>
      </c>
      <c r="I16">
        <f t="shared" si="0"/>
        <v>2500</v>
      </c>
      <c r="K16" t="s">
        <v>450</v>
      </c>
      <c r="L16" t="s">
        <v>444</v>
      </c>
    </row>
    <row r="17" spans="1:12" ht="15" x14ac:dyDescent="0.35">
      <c r="A17" s="8" t="s">
        <v>498</v>
      </c>
      <c r="B17" s="8" t="s">
        <v>499</v>
      </c>
      <c r="C17" s="8"/>
      <c r="D17" s="8" t="s">
        <v>439</v>
      </c>
      <c r="E17" s="8" t="s">
        <v>403</v>
      </c>
      <c r="F17" s="9">
        <v>30768</v>
      </c>
      <c r="G17" s="8">
        <v>35.5</v>
      </c>
      <c r="H17" s="8">
        <v>100</v>
      </c>
      <c r="I17">
        <f t="shared" si="0"/>
        <v>3550</v>
      </c>
      <c r="K17" t="s">
        <v>450</v>
      </c>
      <c r="L17" t="s">
        <v>445</v>
      </c>
    </row>
    <row r="18" spans="1:12" ht="15" x14ac:dyDescent="0.35">
      <c r="A18" s="8" t="s">
        <v>500</v>
      </c>
      <c r="B18" s="8" t="s">
        <v>501</v>
      </c>
      <c r="C18" s="8"/>
      <c r="D18" s="8" t="s">
        <v>438</v>
      </c>
      <c r="E18" s="8" t="s">
        <v>403</v>
      </c>
      <c r="F18" s="9">
        <v>30780</v>
      </c>
      <c r="G18" s="8">
        <v>40</v>
      </c>
      <c r="H18" s="8">
        <v>100</v>
      </c>
      <c r="I18">
        <f t="shared" si="0"/>
        <v>4000</v>
      </c>
      <c r="K18" t="s">
        <v>451</v>
      </c>
      <c r="L18" t="s">
        <v>446</v>
      </c>
    </row>
    <row r="19" spans="1:12" ht="15" x14ac:dyDescent="0.35">
      <c r="A19" s="8" t="s">
        <v>502</v>
      </c>
      <c r="B19" s="8" t="s">
        <v>503</v>
      </c>
      <c r="C19" s="8"/>
      <c r="D19" s="8" t="s">
        <v>438</v>
      </c>
      <c r="E19" s="8" t="s">
        <v>479</v>
      </c>
      <c r="F19" s="9">
        <v>30784</v>
      </c>
      <c r="G19" s="8">
        <v>38</v>
      </c>
      <c r="H19" s="8">
        <v>100</v>
      </c>
      <c r="I19">
        <f t="shared" si="0"/>
        <v>3800</v>
      </c>
      <c r="K19" t="s">
        <v>451</v>
      </c>
      <c r="L19" t="s">
        <v>447</v>
      </c>
    </row>
    <row r="20" spans="1:12" ht="15" x14ac:dyDescent="0.35">
      <c r="A20" s="8" t="s">
        <v>504</v>
      </c>
      <c r="B20" s="8" t="s">
        <v>505</v>
      </c>
      <c r="C20" s="8"/>
      <c r="D20" s="8" t="s">
        <v>439</v>
      </c>
      <c r="E20" s="8" t="s">
        <v>468</v>
      </c>
      <c r="F20" s="9">
        <v>30902</v>
      </c>
      <c r="G20" s="8">
        <v>35.5</v>
      </c>
      <c r="H20" s="8">
        <v>100</v>
      </c>
      <c r="I20">
        <f t="shared" si="0"/>
        <v>3550</v>
      </c>
      <c r="K20" t="s">
        <v>451</v>
      </c>
      <c r="L20" t="s">
        <v>448</v>
      </c>
    </row>
    <row r="21" spans="1:12" ht="15" x14ac:dyDescent="0.35">
      <c r="A21" s="8" t="s">
        <v>506</v>
      </c>
      <c r="B21" s="8" t="s">
        <v>507</v>
      </c>
      <c r="C21" s="8"/>
      <c r="D21" s="8" t="s">
        <v>438</v>
      </c>
      <c r="E21" s="8" t="s">
        <v>476</v>
      </c>
      <c r="F21" s="9">
        <v>30911</v>
      </c>
      <c r="G21" s="8">
        <v>32</v>
      </c>
      <c r="H21" s="8">
        <v>100</v>
      </c>
      <c r="I21">
        <f t="shared" si="0"/>
        <v>3200</v>
      </c>
      <c r="K21" s="5" t="s">
        <v>451</v>
      </c>
      <c r="L21" s="5" t="s">
        <v>449</v>
      </c>
    </row>
    <row r="22" spans="1:12" ht="15" x14ac:dyDescent="0.35">
      <c r="A22" s="8" t="s">
        <v>508</v>
      </c>
      <c r="B22" s="8" t="s">
        <v>509</v>
      </c>
      <c r="C22" s="8"/>
      <c r="D22" s="8" t="s">
        <v>438</v>
      </c>
      <c r="E22" s="8" t="s">
        <v>468</v>
      </c>
      <c r="F22" s="9">
        <v>30911</v>
      </c>
      <c r="G22" s="8">
        <v>29.5</v>
      </c>
      <c r="H22" s="8">
        <v>100</v>
      </c>
      <c r="I22">
        <f t="shared" si="0"/>
        <v>2950</v>
      </c>
      <c r="K22" t="s">
        <v>452</v>
      </c>
      <c r="L22" t="s">
        <v>453</v>
      </c>
    </row>
    <row r="23" spans="1:12" ht="15" x14ac:dyDescent="0.35">
      <c r="A23" s="8" t="s">
        <v>510</v>
      </c>
      <c r="B23" s="8" t="s">
        <v>511</v>
      </c>
      <c r="C23" s="8"/>
      <c r="D23" s="8" t="s">
        <v>438</v>
      </c>
      <c r="E23" s="8" t="s">
        <v>403</v>
      </c>
      <c r="F23" s="9">
        <v>30917</v>
      </c>
      <c r="G23" s="8">
        <v>40</v>
      </c>
      <c r="H23" s="8">
        <v>100</v>
      </c>
      <c r="I23">
        <f t="shared" si="0"/>
        <v>4000</v>
      </c>
      <c r="K23" t="s">
        <v>452</v>
      </c>
      <c r="L23" t="s">
        <v>454</v>
      </c>
    </row>
    <row r="24" spans="1:12" ht="15" x14ac:dyDescent="0.35">
      <c r="A24" s="8" t="s">
        <v>512</v>
      </c>
      <c r="B24" s="8" t="s">
        <v>513</v>
      </c>
      <c r="C24" s="8"/>
      <c r="D24" s="8" t="s">
        <v>438</v>
      </c>
      <c r="E24" s="8" t="s">
        <v>476</v>
      </c>
      <c r="F24" s="9">
        <v>30963</v>
      </c>
      <c r="G24" s="8">
        <v>40</v>
      </c>
      <c r="H24" s="8">
        <v>100</v>
      </c>
      <c r="I24">
        <f t="shared" si="0"/>
        <v>4000</v>
      </c>
      <c r="K24" t="s">
        <v>452</v>
      </c>
      <c r="L24" t="s">
        <v>455</v>
      </c>
    </row>
    <row r="25" spans="1:12" ht="15" x14ac:dyDescent="0.35">
      <c r="A25" s="8" t="s">
        <v>514</v>
      </c>
      <c r="B25" s="8" t="s">
        <v>515</v>
      </c>
      <c r="C25" s="8"/>
      <c r="D25" s="8" t="s">
        <v>438</v>
      </c>
      <c r="E25" s="8" t="s">
        <v>476</v>
      </c>
      <c r="F25" s="9">
        <v>30988</v>
      </c>
      <c r="G25" s="8">
        <v>40</v>
      </c>
      <c r="H25" s="8">
        <v>100</v>
      </c>
      <c r="I25">
        <f t="shared" si="0"/>
        <v>4000</v>
      </c>
      <c r="K25" t="s">
        <v>452</v>
      </c>
      <c r="L25" t="s">
        <v>457</v>
      </c>
    </row>
    <row r="26" spans="1:12" ht="15" x14ac:dyDescent="0.35">
      <c r="A26" s="8" t="s">
        <v>516</v>
      </c>
      <c r="B26" s="8" t="s">
        <v>517</v>
      </c>
      <c r="C26" s="8"/>
      <c r="D26" s="8" t="s">
        <v>438</v>
      </c>
      <c r="E26" s="8" t="s">
        <v>403</v>
      </c>
      <c r="F26" s="9">
        <v>31072</v>
      </c>
      <c r="G26" s="8">
        <v>35.5</v>
      </c>
      <c r="H26" s="8">
        <v>100</v>
      </c>
      <c r="I26">
        <f t="shared" si="0"/>
        <v>3550</v>
      </c>
    </row>
    <row r="27" spans="1:12" ht="15" x14ac:dyDescent="0.35">
      <c r="A27" s="8" t="s">
        <v>518</v>
      </c>
      <c r="B27" s="8" t="s">
        <v>519</v>
      </c>
      <c r="C27" s="8"/>
      <c r="D27" s="8" t="s">
        <v>439</v>
      </c>
      <c r="E27" s="8" t="s">
        <v>479</v>
      </c>
      <c r="F27" s="9">
        <v>31174</v>
      </c>
      <c r="G27" s="8">
        <v>40</v>
      </c>
      <c r="H27" s="8">
        <v>100</v>
      </c>
      <c r="I27">
        <f t="shared" si="0"/>
        <v>4000</v>
      </c>
    </row>
    <row r="28" spans="1:12" ht="15" x14ac:dyDescent="0.35">
      <c r="A28" s="8" t="s">
        <v>520</v>
      </c>
      <c r="B28" s="8" t="s">
        <v>521</v>
      </c>
      <c r="C28" s="8"/>
      <c r="D28" s="8" t="s">
        <v>438</v>
      </c>
      <c r="E28" s="8" t="s">
        <v>403</v>
      </c>
      <c r="F28" s="9">
        <v>31233</v>
      </c>
      <c r="G28" s="8">
        <v>35.5</v>
      </c>
      <c r="H28" s="8">
        <v>100</v>
      </c>
      <c r="I28">
        <f t="shared" si="0"/>
        <v>3550</v>
      </c>
    </row>
    <row r="29" spans="1:12" ht="15" x14ac:dyDescent="0.35">
      <c r="A29" s="8" t="s">
        <v>522</v>
      </c>
      <c r="B29" s="8" t="s">
        <v>523</v>
      </c>
      <c r="C29" s="8"/>
      <c r="D29" s="8" t="s">
        <v>438</v>
      </c>
      <c r="E29" s="8" t="s">
        <v>476</v>
      </c>
      <c r="F29" s="9">
        <v>31251</v>
      </c>
      <c r="G29" s="8">
        <v>40</v>
      </c>
      <c r="H29" s="8">
        <v>100</v>
      </c>
      <c r="I29">
        <f t="shared" si="0"/>
        <v>4000</v>
      </c>
    </row>
    <row r="30" spans="1:12" ht="15" x14ac:dyDescent="0.35">
      <c r="A30" s="8" t="s">
        <v>524</v>
      </c>
      <c r="B30" s="8" t="s">
        <v>525</v>
      </c>
      <c r="C30" s="8"/>
      <c r="D30" s="8" t="s">
        <v>438</v>
      </c>
      <c r="E30" s="8" t="s">
        <v>403</v>
      </c>
      <c r="F30" s="9">
        <v>31359</v>
      </c>
      <c r="G30" s="8">
        <v>40</v>
      </c>
      <c r="H30" s="8">
        <v>100</v>
      </c>
      <c r="I30">
        <f t="shared" si="0"/>
        <v>4000</v>
      </c>
    </row>
    <row r="31" spans="1:12" ht="15" x14ac:dyDescent="0.35">
      <c r="A31" s="8" t="s">
        <v>526</v>
      </c>
      <c r="B31" s="8" t="s">
        <v>527</v>
      </c>
      <c r="C31" s="8"/>
      <c r="D31" s="8" t="s">
        <v>438</v>
      </c>
      <c r="E31" s="8" t="s">
        <v>479</v>
      </c>
      <c r="F31" s="9">
        <v>31427</v>
      </c>
      <c r="G31" s="8">
        <v>35</v>
      </c>
      <c r="H31" s="8">
        <v>100</v>
      </c>
      <c r="I31">
        <f t="shared" si="0"/>
        <v>3500</v>
      </c>
    </row>
    <row r="32" spans="1:12" ht="15" x14ac:dyDescent="0.35">
      <c r="A32" s="8" t="s">
        <v>528</v>
      </c>
      <c r="B32" s="8" t="s">
        <v>529</v>
      </c>
      <c r="C32" s="8"/>
      <c r="D32" s="8" t="s">
        <v>438</v>
      </c>
      <c r="E32" s="8" t="s">
        <v>479</v>
      </c>
      <c r="F32" s="9">
        <v>31444</v>
      </c>
      <c r="G32" s="8">
        <v>35</v>
      </c>
      <c r="H32" s="8">
        <v>100</v>
      </c>
      <c r="I32">
        <f t="shared" si="0"/>
        <v>3500</v>
      </c>
    </row>
    <row r="33" spans="1:9" ht="15" x14ac:dyDescent="0.35">
      <c r="A33" s="8" t="s">
        <v>530</v>
      </c>
      <c r="B33" s="8" t="s">
        <v>531</v>
      </c>
      <c r="C33" s="8"/>
      <c r="D33" s="8" t="s">
        <v>438</v>
      </c>
      <c r="E33" s="8" t="s">
        <v>479</v>
      </c>
      <c r="F33" s="9">
        <v>31494</v>
      </c>
      <c r="G33" s="8">
        <v>35</v>
      </c>
      <c r="H33" s="8">
        <v>100</v>
      </c>
      <c r="I33">
        <f t="shared" si="0"/>
        <v>3500</v>
      </c>
    </row>
    <row r="34" spans="1:9" ht="15" x14ac:dyDescent="0.35">
      <c r="A34" s="8" t="s">
        <v>532</v>
      </c>
      <c r="B34" s="8" t="s">
        <v>533</v>
      </c>
      <c r="C34" s="8"/>
      <c r="D34" s="8" t="s">
        <v>439</v>
      </c>
      <c r="E34" s="8" t="s">
        <v>468</v>
      </c>
      <c r="F34" s="9">
        <v>31508</v>
      </c>
      <c r="G34" s="8">
        <v>25</v>
      </c>
      <c r="H34" s="8">
        <v>100</v>
      </c>
      <c r="I34">
        <f t="shared" si="0"/>
        <v>2500</v>
      </c>
    </row>
    <row r="35" spans="1:9" ht="15" x14ac:dyDescent="0.35">
      <c r="A35" s="8" t="s">
        <v>534</v>
      </c>
      <c r="B35" s="8" t="s">
        <v>535</v>
      </c>
      <c r="C35" s="8"/>
      <c r="D35" s="8" t="s">
        <v>439</v>
      </c>
      <c r="E35" s="8" t="s">
        <v>479</v>
      </c>
      <c r="F35" s="9">
        <v>31551</v>
      </c>
      <c r="G35" s="8">
        <v>40</v>
      </c>
      <c r="H35" s="8">
        <v>100</v>
      </c>
      <c r="I35">
        <f t="shared" si="0"/>
        <v>4000</v>
      </c>
    </row>
    <row r="36" spans="1:9" ht="15" x14ac:dyDescent="0.35">
      <c r="A36" s="8" t="s">
        <v>536</v>
      </c>
      <c r="B36" s="8" t="s">
        <v>537</v>
      </c>
      <c r="C36" s="8"/>
      <c r="D36" s="8" t="s">
        <v>439</v>
      </c>
      <c r="E36" s="8" t="s">
        <v>403</v>
      </c>
      <c r="F36" s="9">
        <v>31563</v>
      </c>
      <c r="G36" s="8">
        <v>40</v>
      </c>
      <c r="H36" s="8">
        <v>100</v>
      </c>
      <c r="I36">
        <f t="shared" si="0"/>
        <v>4000</v>
      </c>
    </row>
    <row r="37" spans="1:9" ht="15" x14ac:dyDescent="0.35">
      <c r="A37" s="8" t="s">
        <v>538</v>
      </c>
      <c r="B37" s="8" t="s">
        <v>539</v>
      </c>
      <c r="C37" s="8"/>
      <c r="D37" s="8" t="s">
        <v>439</v>
      </c>
      <c r="E37" s="8" t="s">
        <v>468</v>
      </c>
      <c r="F37" s="9">
        <v>31580</v>
      </c>
      <c r="G37" s="8">
        <v>40</v>
      </c>
      <c r="H37" s="8">
        <v>100</v>
      </c>
      <c r="I37">
        <f t="shared" si="0"/>
        <v>4000</v>
      </c>
    </row>
    <row r="38" spans="1:9" ht="15" x14ac:dyDescent="0.35">
      <c r="A38" s="8" t="s">
        <v>502</v>
      </c>
      <c r="B38" s="8" t="s">
        <v>540</v>
      </c>
      <c r="C38" s="8"/>
      <c r="D38" s="8" t="s">
        <v>439</v>
      </c>
      <c r="E38" s="8" t="s">
        <v>403</v>
      </c>
      <c r="F38" s="9">
        <v>31614</v>
      </c>
      <c r="G38" s="8">
        <v>35.5</v>
      </c>
      <c r="H38" s="8">
        <v>100</v>
      </c>
      <c r="I38">
        <f t="shared" si="0"/>
        <v>3550</v>
      </c>
    </row>
    <row r="39" spans="1:9" ht="15" x14ac:dyDescent="0.35">
      <c r="A39" s="8" t="s">
        <v>541</v>
      </c>
      <c r="B39" s="8" t="s">
        <v>542</v>
      </c>
      <c r="C39" s="8"/>
      <c r="D39" s="8" t="s">
        <v>439</v>
      </c>
      <c r="E39" s="8" t="s">
        <v>479</v>
      </c>
      <c r="F39" s="9">
        <v>31689</v>
      </c>
      <c r="G39" s="8">
        <v>40</v>
      </c>
      <c r="H39" s="8">
        <v>100</v>
      </c>
      <c r="I39">
        <f t="shared" si="0"/>
        <v>4000</v>
      </c>
    </row>
    <row r="40" spans="1:9" ht="15" x14ac:dyDescent="0.35">
      <c r="A40" s="8" t="s">
        <v>543</v>
      </c>
      <c r="B40" s="8" t="s">
        <v>544</v>
      </c>
      <c r="C40" s="8"/>
      <c r="D40" s="8" t="s">
        <v>438</v>
      </c>
      <c r="E40" s="8" t="s">
        <v>476</v>
      </c>
      <c r="F40" s="9">
        <v>31690</v>
      </c>
      <c r="G40" s="8">
        <v>40</v>
      </c>
      <c r="H40" s="8">
        <v>100</v>
      </c>
      <c r="I40">
        <f t="shared" si="0"/>
        <v>4000</v>
      </c>
    </row>
    <row r="41" spans="1:9" ht="15" x14ac:dyDescent="0.35">
      <c r="A41" s="8" t="s">
        <v>545</v>
      </c>
      <c r="B41" s="8" t="s">
        <v>497</v>
      </c>
      <c r="C41" s="8"/>
      <c r="D41" s="8" t="s">
        <v>438</v>
      </c>
      <c r="E41" s="8" t="s">
        <v>476</v>
      </c>
      <c r="F41" s="9">
        <v>31690</v>
      </c>
      <c r="G41" s="8">
        <v>40</v>
      </c>
      <c r="H41" s="8">
        <v>100</v>
      </c>
      <c r="I41">
        <f t="shared" si="0"/>
        <v>4000</v>
      </c>
    </row>
    <row r="42" spans="1:9" ht="15" x14ac:dyDescent="0.35">
      <c r="A42" s="8" t="s">
        <v>546</v>
      </c>
      <c r="B42" s="8" t="s">
        <v>547</v>
      </c>
      <c r="C42" s="8"/>
      <c r="D42" s="8" t="s">
        <v>439</v>
      </c>
      <c r="E42" s="8" t="s">
        <v>468</v>
      </c>
      <c r="F42" s="9">
        <v>31695</v>
      </c>
      <c r="G42" s="8">
        <v>40</v>
      </c>
      <c r="H42" s="8">
        <v>100</v>
      </c>
      <c r="I42">
        <f t="shared" si="0"/>
        <v>4000</v>
      </c>
    </row>
    <row r="43" spans="1:9" ht="15" x14ac:dyDescent="0.35">
      <c r="A43" s="8" t="s">
        <v>548</v>
      </c>
      <c r="B43" s="8" t="s">
        <v>549</v>
      </c>
      <c r="C43" s="8"/>
      <c r="D43" s="8" t="s">
        <v>439</v>
      </c>
      <c r="E43" s="8" t="s">
        <v>468</v>
      </c>
      <c r="F43" s="9">
        <v>31696</v>
      </c>
      <c r="G43" s="8">
        <v>35.5</v>
      </c>
      <c r="H43" s="8">
        <v>100</v>
      </c>
      <c r="I43">
        <f t="shared" si="0"/>
        <v>3550</v>
      </c>
    </row>
    <row r="44" spans="1:9" ht="15" x14ac:dyDescent="0.35">
      <c r="A44" s="8" t="s">
        <v>550</v>
      </c>
      <c r="B44" s="8" t="s">
        <v>551</v>
      </c>
      <c r="C44" s="8"/>
      <c r="D44" s="8" t="s">
        <v>439</v>
      </c>
      <c r="E44" s="8" t="s">
        <v>479</v>
      </c>
      <c r="F44" s="9">
        <v>31751</v>
      </c>
      <c r="G44" s="8">
        <v>15.5</v>
      </c>
      <c r="H44" s="8">
        <v>100</v>
      </c>
      <c r="I44">
        <f t="shared" si="0"/>
        <v>1550</v>
      </c>
    </row>
    <row r="45" spans="1:9" ht="15" x14ac:dyDescent="0.35">
      <c r="A45" s="8" t="s">
        <v>552</v>
      </c>
      <c r="B45" s="8" t="s">
        <v>553</v>
      </c>
      <c r="C45" s="8"/>
      <c r="D45" s="8" t="s">
        <v>439</v>
      </c>
      <c r="E45" s="8" t="s">
        <v>479</v>
      </c>
      <c r="F45" s="9">
        <v>31753</v>
      </c>
      <c r="G45" s="8">
        <v>32</v>
      </c>
      <c r="H45" s="8">
        <v>100</v>
      </c>
      <c r="I45">
        <f t="shared" si="0"/>
        <v>3200</v>
      </c>
    </row>
    <row r="46" spans="1:9" ht="15" x14ac:dyDescent="0.35">
      <c r="A46" s="8" t="s">
        <v>554</v>
      </c>
      <c r="B46" s="8" t="s">
        <v>555</v>
      </c>
      <c r="C46" s="8"/>
      <c r="D46" s="8" t="s">
        <v>439</v>
      </c>
      <c r="E46" s="8" t="s">
        <v>403</v>
      </c>
      <c r="F46" s="9">
        <v>31759</v>
      </c>
      <c r="G46" s="8">
        <v>40</v>
      </c>
      <c r="H46" s="8">
        <v>100</v>
      </c>
      <c r="I46">
        <f t="shared" si="0"/>
        <v>4000</v>
      </c>
    </row>
    <row r="47" spans="1:9" ht="15" x14ac:dyDescent="0.35">
      <c r="A47" s="8" t="s">
        <v>556</v>
      </c>
      <c r="B47" s="8" t="s">
        <v>557</v>
      </c>
      <c r="C47" s="8"/>
      <c r="D47" s="8" t="s">
        <v>439</v>
      </c>
      <c r="E47" s="8" t="s">
        <v>403</v>
      </c>
      <c r="F47" s="9">
        <v>31770</v>
      </c>
      <c r="G47" s="8">
        <v>35.5</v>
      </c>
      <c r="H47" s="8">
        <v>100</v>
      </c>
      <c r="I47">
        <f t="shared" si="0"/>
        <v>3550</v>
      </c>
    </row>
    <row r="48" spans="1:9" ht="15" x14ac:dyDescent="0.35">
      <c r="A48" s="8" t="s">
        <v>558</v>
      </c>
      <c r="B48" s="8" t="s">
        <v>559</v>
      </c>
      <c r="C48" s="8"/>
      <c r="D48" s="8" t="s">
        <v>439</v>
      </c>
      <c r="E48" s="8" t="s">
        <v>403</v>
      </c>
      <c r="F48" s="9">
        <v>31789</v>
      </c>
      <c r="G48" s="8">
        <v>42</v>
      </c>
      <c r="H48" s="8">
        <v>100</v>
      </c>
      <c r="I48">
        <f t="shared" si="0"/>
        <v>4200</v>
      </c>
    </row>
    <row r="49" spans="1:9" ht="15" x14ac:dyDescent="0.35">
      <c r="A49" s="8" t="s">
        <v>560</v>
      </c>
      <c r="B49" s="8" t="s">
        <v>561</v>
      </c>
      <c r="C49" s="8"/>
      <c r="D49" s="8" t="s">
        <v>439</v>
      </c>
      <c r="E49" s="8" t="s">
        <v>403</v>
      </c>
      <c r="F49" s="9">
        <v>31838</v>
      </c>
      <c r="G49" s="8">
        <v>15.5</v>
      </c>
      <c r="H49" s="8">
        <v>100</v>
      </c>
      <c r="I49">
        <f t="shared" si="0"/>
        <v>1550</v>
      </c>
    </row>
    <row r="50" spans="1:9" ht="15" x14ac:dyDescent="0.35">
      <c r="A50" s="8" t="s">
        <v>562</v>
      </c>
      <c r="B50" s="8" t="s">
        <v>563</v>
      </c>
      <c r="C50" s="8"/>
      <c r="D50" s="8" t="s">
        <v>438</v>
      </c>
      <c r="E50" s="8" t="s">
        <v>479</v>
      </c>
      <c r="F50" s="9">
        <v>31923</v>
      </c>
      <c r="G50" s="8">
        <v>38</v>
      </c>
      <c r="H50" s="8">
        <v>100</v>
      </c>
      <c r="I50">
        <f t="shared" si="0"/>
        <v>3800</v>
      </c>
    </row>
    <row r="51" spans="1:9" ht="15" x14ac:dyDescent="0.35">
      <c r="A51" s="8" t="s">
        <v>564</v>
      </c>
      <c r="B51" s="8" t="s">
        <v>565</v>
      </c>
      <c r="C51" s="8"/>
      <c r="D51" s="8" t="s">
        <v>438</v>
      </c>
      <c r="E51" s="8" t="s">
        <v>479</v>
      </c>
      <c r="F51" s="9">
        <v>31926</v>
      </c>
      <c r="G51" s="8">
        <v>25</v>
      </c>
      <c r="H51" s="8">
        <v>100</v>
      </c>
      <c r="I51">
        <f t="shared" si="0"/>
        <v>2500</v>
      </c>
    </row>
    <row r="52" spans="1:9" ht="15" x14ac:dyDescent="0.35">
      <c r="A52" s="8" t="s">
        <v>566</v>
      </c>
      <c r="B52" s="8" t="s">
        <v>567</v>
      </c>
      <c r="C52" s="8"/>
      <c r="D52" s="8" t="s">
        <v>438</v>
      </c>
      <c r="E52" s="8" t="s">
        <v>476</v>
      </c>
      <c r="F52" s="9">
        <v>31933</v>
      </c>
      <c r="G52" s="8">
        <v>35</v>
      </c>
      <c r="H52" s="8">
        <v>100</v>
      </c>
      <c r="I52">
        <f t="shared" si="0"/>
        <v>3500</v>
      </c>
    </row>
    <row r="53" spans="1:9" ht="15" x14ac:dyDescent="0.35">
      <c r="A53" s="8" t="s">
        <v>488</v>
      </c>
      <c r="B53" s="8" t="s">
        <v>568</v>
      </c>
      <c r="C53" s="8"/>
      <c r="D53" s="8" t="s">
        <v>438</v>
      </c>
      <c r="E53" s="8" t="s">
        <v>403</v>
      </c>
      <c r="F53" s="9">
        <v>31938</v>
      </c>
      <c r="G53" s="8">
        <v>40</v>
      </c>
      <c r="H53" s="8">
        <v>100</v>
      </c>
      <c r="I53">
        <f t="shared" si="0"/>
        <v>4000</v>
      </c>
    </row>
    <row r="54" spans="1:9" ht="15" x14ac:dyDescent="0.35">
      <c r="A54" s="8" t="s">
        <v>569</v>
      </c>
      <c r="B54" s="8" t="s">
        <v>570</v>
      </c>
      <c r="C54" s="8"/>
      <c r="D54" s="8" t="s">
        <v>439</v>
      </c>
      <c r="E54" s="8" t="s">
        <v>468</v>
      </c>
      <c r="F54" s="9">
        <v>31951</v>
      </c>
      <c r="G54" s="8">
        <v>40</v>
      </c>
      <c r="H54" s="8">
        <v>100</v>
      </c>
      <c r="I54">
        <f t="shared" si="0"/>
        <v>4000</v>
      </c>
    </row>
    <row r="55" spans="1:9" ht="15" x14ac:dyDescent="0.35">
      <c r="A55" s="8" t="s">
        <v>571</v>
      </c>
      <c r="B55" s="8" t="s">
        <v>572</v>
      </c>
      <c r="C55" s="8"/>
      <c r="D55" s="8" t="s">
        <v>438</v>
      </c>
      <c r="E55" s="8" t="s">
        <v>479</v>
      </c>
      <c r="F55" s="9">
        <v>31959</v>
      </c>
      <c r="G55" s="8">
        <v>40</v>
      </c>
      <c r="H55" s="8">
        <v>100</v>
      </c>
      <c r="I55">
        <f t="shared" si="0"/>
        <v>4000</v>
      </c>
    </row>
    <row r="56" spans="1:9" ht="15" x14ac:dyDescent="0.35">
      <c r="A56" s="8" t="s">
        <v>573</v>
      </c>
      <c r="B56" s="8" t="s">
        <v>574</v>
      </c>
      <c r="C56" s="8"/>
      <c r="D56" s="8" t="s">
        <v>438</v>
      </c>
      <c r="E56" s="8" t="s">
        <v>468</v>
      </c>
      <c r="F56" s="9">
        <v>32029</v>
      </c>
      <c r="G56" s="8">
        <v>29.5</v>
      </c>
      <c r="H56" s="8">
        <v>100</v>
      </c>
      <c r="I56">
        <f t="shared" si="0"/>
        <v>2950</v>
      </c>
    </row>
    <row r="57" spans="1:9" ht="15" x14ac:dyDescent="0.35">
      <c r="A57" s="8" t="s">
        <v>575</v>
      </c>
      <c r="B57" s="8" t="s">
        <v>576</v>
      </c>
      <c r="C57" s="8"/>
      <c r="D57" s="8" t="s">
        <v>439</v>
      </c>
      <c r="E57" s="8" t="s">
        <v>468</v>
      </c>
      <c r="F57" s="9">
        <v>32078</v>
      </c>
      <c r="G57" s="8">
        <v>40</v>
      </c>
      <c r="H57" s="8">
        <v>100</v>
      </c>
      <c r="I57">
        <f t="shared" si="0"/>
        <v>4000</v>
      </c>
    </row>
    <row r="58" spans="1:9" ht="15" x14ac:dyDescent="0.35">
      <c r="A58" s="8" t="s">
        <v>577</v>
      </c>
      <c r="B58" s="8" t="s">
        <v>578</v>
      </c>
      <c r="C58" s="8"/>
      <c r="D58" s="8" t="s">
        <v>439</v>
      </c>
      <c r="E58" s="8" t="s">
        <v>468</v>
      </c>
      <c r="F58" s="9">
        <v>32085</v>
      </c>
      <c r="G58" s="8">
        <v>38</v>
      </c>
      <c r="H58" s="8">
        <v>100</v>
      </c>
      <c r="I58">
        <f t="shared" si="0"/>
        <v>3800</v>
      </c>
    </row>
    <row r="59" spans="1:9" ht="15" x14ac:dyDescent="0.35">
      <c r="A59" s="8" t="s">
        <v>573</v>
      </c>
      <c r="B59" s="8" t="s">
        <v>579</v>
      </c>
      <c r="C59" s="8"/>
      <c r="D59" s="8" t="s">
        <v>438</v>
      </c>
      <c r="E59" s="8" t="s">
        <v>403</v>
      </c>
      <c r="F59" s="9">
        <v>32106</v>
      </c>
      <c r="G59" s="8">
        <v>35.5</v>
      </c>
      <c r="H59" s="8">
        <v>100</v>
      </c>
      <c r="I59">
        <f t="shared" si="0"/>
        <v>3550</v>
      </c>
    </row>
    <row r="60" spans="1:9" ht="15" x14ac:dyDescent="0.35">
      <c r="A60" s="8" t="s">
        <v>518</v>
      </c>
      <c r="B60" s="8" t="s">
        <v>580</v>
      </c>
      <c r="C60" s="8"/>
      <c r="D60" s="8" t="s">
        <v>438</v>
      </c>
      <c r="E60" s="8" t="s">
        <v>403</v>
      </c>
      <c r="F60" s="9">
        <v>32114</v>
      </c>
      <c r="G60" s="8">
        <v>35.5</v>
      </c>
      <c r="H60" s="8">
        <v>100</v>
      </c>
      <c r="I60">
        <f t="shared" si="0"/>
        <v>3550</v>
      </c>
    </row>
    <row r="61" spans="1:9" ht="15" x14ac:dyDescent="0.35">
      <c r="A61" s="8" t="s">
        <v>581</v>
      </c>
      <c r="B61" s="8" t="s">
        <v>582</v>
      </c>
      <c r="C61" s="8"/>
      <c r="D61" s="8" t="s">
        <v>438</v>
      </c>
      <c r="E61" s="8" t="s">
        <v>479</v>
      </c>
      <c r="F61" s="9">
        <v>32118</v>
      </c>
      <c r="G61" s="8">
        <v>29.5</v>
      </c>
      <c r="H61" s="8">
        <v>100</v>
      </c>
      <c r="I61">
        <f t="shared" si="0"/>
        <v>2950</v>
      </c>
    </row>
    <row r="62" spans="1:9" ht="15" x14ac:dyDescent="0.35">
      <c r="A62" s="8" t="s">
        <v>466</v>
      </c>
      <c r="B62" s="8" t="s">
        <v>583</v>
      </c>
      <c r="C62" s="8"/>
      <c r="D62" s="8" t="s">
        <v>439</v>
      </c>
      <c r="E62" s="8" t="s">
        <v>476</v>
      </c>
      <c r="F62" s="9">
        <v>32130</v>
      </c>
      <c r="G62" s="8">
        <v>40</v>
      </c>
      <c r="H62" s="8">
        <v>100</v>
      </c>
      <c r="I62">
        <f t="shared" si="0"/>
        <v>4000</v>
      </c>
    </row>
    <row r="63" spans="1:9" ht="15" x14ac:dyDescent="0.35">
      <c r="A63" s="8" t="s">
        <v>577</v>
      </c>
      <c r="B63" s="8" t="s">
        <v>584</v>
      </c>
      <c r="C63" s="8"/>
      <c r="D63" s="8" t="s">
        <v>439</v>
      </c>
      <c r="E63" s="8" t="s">
        <v>468</v>
      </c>
      <c r="F63" s="9">
        <v>32135</v>
      </c>
      <c r="G63" s="8">
        <v>40</v>
      </c>
      <c r="H63" s="8">
        <v>100</v>
      </c>
      <c r="I63">
        <f t="shared" si="0"/>
        <v>4000</v>
      </c>
    </row>
    <row r="64" spans="1:9" ht="15" x14ac:dyDescent="0.35">
      <c r="A64" s="8" t="s">
        <v>498</v>
      </c>
      <c r="B64" s="8" t="s">
        <v>585</v>
      </c>
      <c r="C64" s="8"/>
      <c r="D64" s="8" t="s">
        <v>438</v>
      </c>
      <c r="E64" s="8" t="s">
        <v>476</v>
      </c>
      <c r="F64" s="9">
        <v>32275</v>
      </c>
      <c r="G64" s="8">
        <v>40</v>
      </c>
      <c r="H64" s="8">
        <v>100</v>
      </c>
      <c r="I64">
        <f t="shared" si="0"/>
        <v>4000</v>
      </c>
    </row>
    <row r="65" spans="1:9" ht="15" x14ac:dyDescent="0.35">
      <c r="A65" s="8" t="s">
        <v>586</v>
      </c>
      <c r="B65" s="8" t="s">
        <v>478</v>
      </c>
      <c r="C65" s="8"/>
      <c r="D65" s="8" t="s">
        <v>439</v>
      </c>
      <c r="E65" s="8" t="s">
        <v>403</v>
      </c>
      <c r="F65" s="9">
        <v>32301</v>
      </c>
      <c r="G65" s="8">
        <v>40</v>
      </c>
      <c r="H65" s="8">
        <v>100</v>
      </c>
      <c r="I65">
        <f t="shared" si="0"/>
        <v>4000</v>
      </c>
    </row>
    <row r="66" spans="1:9" ht="15" x14ac:dyDescent="0.35">
      <c r="A66" s="8" t="s">
        <v>587</v>
      </c>
      <c r="B66" s="8" t="s">
        <v>588</v>
      </c>
      <c r="C66" s="8"/>
      <c r="D66" s="8" t="s">
        <v>439</v>
      </c>
      <c r="E66" s="8" t="s">
        <v>403</v>
      </c>
      <c r="F66" s="9">
        <v>32301</v>
      </c>
      <c r="G66" s="8">
        <v>25</v>
      </c>
      <c r="H66" s="8">
        <v>100</v>
      </c>
      <c r="I66">
        <f t="shared" si="0"/>
        <v>2500</v>
      </c>
    </row>
    <row r="67" spans="1:9" ht="15" x14ac:dyDescent="0.35">
      <c r="A67" s="8" t="s">
        <v>589</v>
      </c>
      <c r="B67" s="8" t="s">
        <v>497</v>
      </c>
      <c r="C67" s="8"/>
      <c r="D67" s="8" t="s">
        <v>438</v>
      </c>
      <c r="E67" s="8" t="s">
        <v>476</v>
      </c>
      <c r="F67" s="9">
        <v>32452</v>
      </c>
      <c r="G67" s="8">
        <v>40</v>
      </c>
      <c r="H67" s="8">
        <v>100</v>
      </c>
      <c r="I67">
        <f t="shared" ref="I67:I95" si="1">G67*H67</f>
        <v>4000</v>
      </c>
    </row>
    <row r="68" spans="1:9" ht="15" x14ac:dyDescent="0.35">
      <c r="A68" s="8" t="s">
        <v>590</v>
      </c>
      <c r="B68" s="8" t="s">
        <v>591</v>
      </c>
      <c r="C68" s="8"/>
      <c r="D68" s="8" t="s">
        <v>438</v>
      </c>
      <c r="E68" s="8" t="s">
        <v>468</v>
      </c>
      <c r="F68" s="9">
        <v>32470</v>
      </c>
      <c r="G68" s="8">
        <v>35</v>
      </c>
      <c r="H68" s="8">
        <v>100</v>
      </c>
      <c r="I68">
        <f t="shared" si="1"/>
        <v>3500</v>
      </c>
    </row>
    <row r="69" spans="1:9" ht="15" x14ac:dyDescent="0.35">
      <c r="A69" s="8" t="s">
        <v>592</v>
      </c>
      <c r="B69" s="8" t="s">
        <v>593</v>
      </c>
      <c r="C69" s="8"/>
      <c r="D69" s="8" t="s">
        <v>438</v>
      </c>
      <c r="E69" s="8" t="s">
        <v>468</v>
      </c>
      <c r="F69" s="9">
        <v>32507</v>
      </c>
      <c r="G69" s="8">
        <v>32</v>
      </c>
      <c r="H69" s="8">
        <v>100</v>
      </c>
      <c r="I69">
        <f t="shared" si="1"/>
        <v>3200</v>
      </c>
    </row>
    <row r="70" spans="1:9" ht="15" x14ac:dyDescent="0.35">
      <c r="A70" s="8" t="s">
        <v>594</v>
      </c>
      <c r="B70" s="8" t="s">
        <v>595</v>
      </c>
      <c r="C70" s="8"/>
      <c r="D70" s="8" t="s">
        <v>439</v>
      </c>
      <c r="E70" s="8" t="s">
        <v>468</v>
      </c>
      <c r="F70" s="9">
        <v>32531</v>
      </c>
      <c r="G70" s="8">
        <v>29.5</v>
      </c>
      <c r="H70" s="8">
        <v>100</v>
      </c>
      <c r="I70">
        <f t="shared" si="1"/>
        <v>2950</v>
      </c>
    </row>
    <row r="71" spans="1:9" ht="15" x14ac:dyDescent="0.35">
      <c r="A71" s="8" t="s">
        <v>596</v>
      </c>
      <c r="B71" s="8" t="s">
        <v>597</v>
      </c>
      <c r="C71" s="8"/>
      <c r="D71" s="8" t="s">
        <v>439</v>
      </c>
      <c r="E71" s="8" t="s">
        <v>403</v>
      </c>
      <c r="F71" s="9">
        <v>32565</v>
      </c>
      <c r="G71" s="8">
        <v>35</v>
      </c>
      <c r="H71" s="8">
        <v>100</v>
      </c>
      <c r="I71">
        <f t="shared" si="1"/>
        <v>3500</v>
      </c>
    </row>
    <row r="72" spans="1:9" ht="15" x14ac:dyDescent="0.35">
      <c r="A72" s="8" t="s">
        <v>530</v>
      </c>
      <c r="B72" s="8" t="s">
        <v>598</v>
      </c>
      <c r="C72" s="8"/>
      <c r="D72" s="8" t="s">
        <v>438</v>
      </c>
      <c r="E72" s="8" t="s">
        <v>403</v>
      </c>
      <c r="F72" s="9">
        <v>32625</v>
      </c>
      <c r="G72" s="8">
        <v>15.5</v>
      </c>
      <c r="H72" s="8">
        <v>100</v>
      </c>
      <c r="I72">
        <f t="shared" si="1"/>
        <v>1550</v>
      </c>
    </row>
    <row r="73" spans="1:9" ht="15" x14ac:dyDescent="0.35">
      <c r="A73" s="8" t="s">
        <v>599</v>
      </c>
      <c r="B73" s="8" t="s">
        <v>600</v>
      </c>
      <c r="C73" s="8"/>
      <c r="D73" s="8" t="s">
        <v>439</v>
      </c>
      <c r="E73" s="8" t="s">
        <v>468</v>
      </c>
      <c r="F73" s="9">
        <v>32735</v>
      </c>
      <c r="G73" s="8">
        <v>40</v>
      </c>
      <c r="H73" s="8">
        <v>100</v>
      </c>
      <c r="I73">
        <f t="shared" si="1"/>
        <v>4000</v>
      </c>
    </row>
    <row r="74" spans="1:9" ht="15" x14ac:dyDescent="0.35">
      <c r="A74" s="8" t="s">
        <v>601</v>
      </c>
      <c r="B74" s="8" t="s">
        <v>559</v>
      </c>
      <c r="C74" s="8"/>
      <c r="D74" s="8" t="s">
        <v>439</v>
      </c>
      <c r="E74" s="8" t="s">
        <v>403</v>
      </c>
      <c r="F74" s="9">
        <v>32795</v>
      </c>
      <c r="G74" s="8">
        <v>40</v>
      </c>
      <c r="H74" s="8">
        <v>100</v>
      </c>
      <c r="I74">
        <f t="shared" si="1"/>
        <v>4000</v>
      </c>
    </row>
    <row r="75" spans="1:9" ht="15" x14ac:dyDescent="0.35">
      <c r="A75" s="8" t="s">
        <v>602</v>
      </c>
      <c r="B75" s="8" t="s">
        <v>603</v>
      </c>
      <c r="C75" s="8"/>
      <c r="D75" s="8" t="s">
        <v>439</v>
      </c>
      <c r="E75" s="8" t="s">
        <v>403</v>
      </c>
      <c r="F75" s="9">
        <v>32808</v>
      </c>
      <c r="G75" s="8">
        <v>40</v>
      </c>
      <c r="H75" s="8">
        <v>100</v>
      </c>
      <c r="I75">
        <f t="shared" si="1"/>
        <v>4000</v>
      </c>
    </row>
    <row r="76" spans="1:9" ht="15" x14ac:dyDescent="0.35">
      <c r="A76" s="8" t="s">
        <v>604</v>
      </c>
      <c r="B76" s="8" t="s">
        <v>605</v>
      </c>
      <c r="C76" s="8"/>
      <c r="D76" s="8" t="s">
        <v>439</v>
      </c>
      <c r="E76" s="8" t="s">
        <v>479</v>
      </c>
      <c r="F76" s="9">
        <v>32819</v>
      </c>
      <c r="G76" s="8">
        <v>35</v>
      </c>
      <c r="H76" s="8">
        <v>100</v>
      </c>
      <c r="I76">
        <f t="shared" si="1"/>
        <v>3500</v>
      </c>
    </row>
    <row r="77" spans="1:9" ht="15" x14ac:dyDescent="0.35">
      <c r="A77" s="8" t="s">
        <v>606</v>
      </c>
      <c r="B77" s="8" t="s">
        <v>607</v>
      </c>
      <c r="C77" s="8"/>
      <c r="D77" s="8" t="s">
        <v>438</v>
      </c>
      <c r="E77" s="8" t="s">
        <v>479</v>
      </c>
      <c r="F77" s="9">
        <v>32827</v>
      </c>
      <c r="G77" s="8">
        <v>40</v>
      </c>
      <c r="H77" s="8">
        <v>100</v>
      </c>
      <c r="I77">
        <f t="shared" si="1"/>
        <v>4000</v>
      </c>
    </row>
    <row r="78" spans="1:9" ht="15" x14ac:dyDescent="0.35">
      <c r="A78" s="8" t="s">
        <v>608</v>
      </c>
      <c r="B78" s="8" t="s">
        <v>609</v>
      </c>
      <c r="C78" s="8"/>
      <c r="D78" s="8" t="s">
        <v>439</v>
      </c>
      <c r="E78" s="8" t="s">
        <v>476</v>
      </c>
      <c r="F78" s="9">
        <v>32835</v>
      </c>
      <c r="G78" s="8">
        <v>40</v>
      </c>
      <c r="H78" s="8">
        <v>100</v>
      </c>
      <c r="I78">
        <f t="shared" si="1"/>
        <v>4000</v>
      </c>
    </row>
    <row r="79" spans="1:9" ht="15" x14ac:dyDescent="0.35">
      <c r="A79" s="8" t="s">
        <v>607</v>
      </c>
      <c r="B79" s="8" t="s">
        <v>497</v>
      </c>
      <c r="C79" s="8"/>
      <c r="D79" s="8" t="s">
        <v>439</v>
      </c>
      <c r="E79" s="8" t="s">
        <v>476</v>
      </c>
      <c r="F79" s="9">
        <v>32839</v>
      </c>
      <c r="G79" s="8">
        <v>42</v>
      </c>
      <c r="H79" s="8">
        <v>100</v>
      </c>
      <c r="I79">
        <f t="shared" si="1"/>
        <v>4200</v>
      </c>
    </row>
    <row r="80" spans="1:9" ht="15" x14ac:dyDescent="0.35">
      <c r="A80" s="8" t="s">
        <v>610</v>
      </c>
      <c r="B80" s="8" t="s">
        <v>611</v>
      </c>
      <c r="C80" s="8"/>
      <c r="D80" s="8" t="s">
        <v>438</v>
      </c>
      <c r="E80" s="8" t="s">
        <v>479</v>
      </c>
      <c r="F80" s="9">
        <v>32855</v>
      </c>
      <c r="G80" s="8">
        <v>25</v>
      </c>
      <c r="H80" s="8">
        <v>100</v>
      </c>
      <c r="I80">
        <f t="shared" si="1"/>
        <v>2500</v>
      </c>
    </row>
    <row r="81" spans="1:9" ht="15" x14ac:dyDescent="0.35">
      <c r="A81" s="8" t="s">
        <v>612</v>
      </c>
      <c r="B81" s="8" t="s">
        <v>613</v>
      </c>
      <c r="C81" s="8"/>
      <c r="D81" s="8" t="s">
        <v>438</v>
      </c>
      <c r="E81" s="8" t="s">
        <v>479</v>
      </c>
      <c r="F81" s="9">
        <v>32905</v>
      </c>
      <c r="G81" s="8">
        <v>35.5</v>
      </c>
      <c r="H81" s="8">
        <v>100</v>
      </c>
      <c r="I81">
        <f t="shared" si="1"/>
        <v>3550</v>
      </c>
    </row>
    <row r="82" spans="1:9" ht="15" x14ac:dyDescent="0.35">
      <c r="A82" s="8" t="s">
        <v>614</v>
      </c>
      <c r="B82" s="8" t="s">
        <v>615</v>
      </c>
      <c r="C82" s="8"/>
      <c r="D82" s="8" t="s">
        <v>439</v>
      </c>
      <c r="E82" s="8" t="s">
        <v>468</v>
      </c>
      <c r="F82" s="9">
        <v>32968</v>
      </c>
      <c r="G82" s="8">
        <v>32</v>
      </c>
      <c r="H82" s="8">
        <v>100</v>
      </c>
      <c r="I82">
        <f t="shared" si="1"/>
        <v>3200</v>
      </c>
    </row>
    <row r="83" spans="1:9" ht="15" x14ac:dyDescent="0.35">
      <c r="A83" s="8" t="s">
        <v>616</v>
      </c>
      <c r="B83" s="8" t="s">
        <v>617</v>
      </c>
      <c r="C83" s="8"/>
      <c r="D83" s="8" t="s">
        <v>438</v>
      </c>
      <c r="E83" s="8" t="s">
        <v>479</v>
      </c>
      <c r="F83" s="9">
        <v>32996</v>
      </c>
      <c r="G83" s="8">
        <v>42</v>
      </c>
      <c r="H83" s="8">
        <v>100</v>
      </c>
      <c r="I83">
        <f t="shared" si="1"/>
        <v>4200</v>
      </c>
    </row>
    <row r="84" spans="1:9" ht="15" x14ac:dyDescent="0.35">
      <c r="A84" s="8" t="s">
        <v>618</v>
      </c>
      <c r="B84" s="8" t="s">
        <v>559</v>
      </c>
      <c r="C84" s="8"/>
      <c r="D84" s="8" t="s">
        <v>439</v>
      </c>
      <c r="E84" s="8" t="s">
        <v>403</v>
      </c>
      <c r="F84" s="9">
        <v>33080</v>
      </c>
      <c r="G84" s="8">
        <v>42</v>
      </c>
      <c r="H84" s="8">
        <v>100</v>
      </c>
      <c r="I84">
        <f t="shared" si="1"/>
        <v>4200</v>
      </c>
    </row>
    <row r="85" spans="1:9" ht="15" x14ac:dyDescent="0.35">
      <c r="A85" s="8" t="s">
        <v>619</v>
      </c>
      <c r="B85" s="8" t="s">
        <v>620</v>
      </c>
      <c r="C85" s="8"/>
      <c r="D85" s="8" t="s">
        <v>438</v>
      </c>
      <c r="E85" s="8" t="s">
        <v>403</v>
      </c>
      <c r="F85" s="9">
        <v>33097</v>
      </c>
      <c r="G85" s="8">
        <v>35</v>
      </c>
      <c r="H85" s="8">
        <v>100</v>
      </c>
      <c r="I85">
        <f t="shared" si="1"/>
        <v>3500</v>
      </c>
    </row>
    <row r="86" spans="1:9" ht="15" x14ac:dyDescent="0.35">
      <c r="A86" s="8" t="s">
        <v>621</v>
      </c>
      <c r="B86" s="8" t="s">
        <v>622</v>
      </c>
      <c r="C86" s="8"/>
      <c r="D86" s="8" t="s">
        <v>438</v>
      </c>
      <c r="E86" s="8" t="s">
        <v>403</v>
      </c>
      <c r="F86" s="9">
        <v>33117</v>
      </c>
      <c r="G86" s="8">
        <v>15.5</v>
      </c>
      <c r="H86" s="8">
        <v>100</v>
      </c>
      <c r="I86">
        <f t="shared" si="1"/>
        <v>1550</v>
      </c>
    </row>
    <row r="87" spans="1:9" ht="15" x14ac:dyDescent="0.35">
      <c r="A87" s="8" t="s">
        <v>623</v>
      </c>
      <c r="B87" s="8" t="s">
        <v>624</v>
      </c>
      <c r="C87" s="8"/>
      <c r="D87" s="8" t="s">
        <v>439</v>
      </c>
      <c r="E87" s="8" t="s">
        <v>468</v>
      </c>
      <c r="F87" s="9">
        <v>33237</v>
      </c>
      <c r="G87" s="8">
        <v>40</v>
      </c>
      <c r="H87" s="8">
        <v>100</v>
      </c>
      <c r="I87">
        <f t="shared" si="1"/>
        <v>4000</v>
      </c>
    </row>
    <row r="88" spans="1:9" ht="15" x14ac:dyDescent="0.35">
      <c r="A88" s="8" t="s">
        <v>625</v>
      </c>
      <c r="B88" s="8" t="s">
        <v>626</v>
      </c>
      <c r="C88" s="8"/>
      <c r="D88" s="8" t="s">
        <v>439</v>
      </c>
      <c r="E88" s="8" t="s">
        <v>403</v>
      </c>
      <c r="F88" s="9">
        <v>33261</v>
      </c>
      <c r="G88" s="8">
        <v>40</v>
      </c>
      <c r="H88" s="8">
        <v>100</v>
      </c>
      <c r="I88">
        <f t="shared" si="1"/>
        <v>4000</v>
      </c>
    </row>
    <row r="89" spans="1:9" ht="15" x14ac:dyDescent="0.35">
      <c r="A89" s="8" t="s">
        <v>548</v>
      </c>
      <c r="B89" s="8" t="s">
        <v>559</v>
      </c>
      <c r="C89" s="8"/>
      <c r="D89" s="8" t="s">
        <v>439</v>
      </c>
      <c r="E89" s="8" t="s">
        <v>468</v>
      </c>
      <c r="F89" s="9">
        <v>33274</v>
      </c>
      <c r="G89" s="8">
        <v>35</v>
      </c>
      <c r="H89" s="8">
        <v>100</v>
      </c>
      <c r="I89">
        <f t="shared" si="1"/>
        <v>3500</v>
      </c>
    </row>
    <row r="90" spans="1:9" ht="15" x14ac:dyDescent="0.35">
      <c r="A90" s="8" t="s">
        <v>596</v>
      </c>
      <c r="B90" s="8" t="s">
        <v>627</v>
      </c>
      <c r="C90" s="8"/>
      <c r="D90" s="8" t="s">
        <v>438</v>
      </c>
      <c r="E90" s="8" t="s">
        <v>476</v>
      </c>
      <c r="F90" s="9">
        <v>33301</v>
      </c>
      <c r="G90" s="8">
        <v>40</v>
      </c>
      <c r="H90" s="8">
        <v>100</v>
      </c>
      <c r="I90">
        <f t="shared" si="1"/>
        <v>4000</v>
      </c>
    </row>
    <row r="91" spans="1:9" ht="15" x14ac:dyDescent="0.35">
      <c r="A91" s="8" t="s">
        <v>628</v>
      </c>
      <c r="B91" s="8" t="s">
        <v>629</v>
      </c>
      <c r="C91" s="8"/>
      <c r="D91" s="8" t="s">
        <v>439</v>
      </c>
      <c r="E91" s="8" t="s">
        <v>468</v>
      </c>
      <c r="F91" s="9">
        <v>33311</v>
      </c>
      <c r="G91" s="8">
        <v>35</v>
      </c>
      <c r="H91" s="8">
        <v>100</v>
      </c>
      <c r="I91">
        <f t="shared" si="1"/>
        <v>3500</v>
      </c>
    </row>
    <row r="92" spans="1:9" ht="15" x14ac:dyDescent="0.35">
      <c r="A92" s="8" t="s">
        <v>630</v>
      </c>
      <c r="B92" s="8" t="s">
        <v>478</v>
      </c>
      <c r="C92" s="8"/>
      <c r="D92" s="8" t="s">
        <v>438</v>
      </c>
      <c r="E92" s="8" t="s">
        <v>479</v>
      </c>
      <c r="F92" s="9">
        <v>33336</v>
      </c>
      <c r="G92" s="8">
        <v>40</v>
      </c>
      <c r="H92" s="8">
        <v>100</v>
      </c>
      <c r="I92">
        <f t="shared" si="1"/>
        <v>4000</v>
      </c>
    </row>
    <row r="93" spans="1:9" ht="15" x14ac:dyDescent="0.35">
      <c r="A93" s="8" t="s">
        <v>631</v>
      </c>
      <c r="B93" s="8" t="s">
        <v>632</v>
      </c>
      <c r="C93" s="8"/>
      <c r="D93" s="8" t="s">
        <v>438</v>
      </c>
      <c r="E93" s="8" t="s">
        <v>468</v>
      </c>
      <c r="F93" s="9">
        <v>33392</v>
      </c>
      <c r="G93" s="8">
        <v>29.5</v>
      </c>
      <c r="H93" s="8">
        <v>100</v>
      </c>
      <c r="I93">
        <f t="shared" si="1"/>
        <v>2950</v>
      </c>
    </row>
    <row r="94" spans="1:9" ht="15" x14ac:dyDescent="0.35">
      <c r="A94" s="8" t="s">
        <v>633</v>
      </c>
      <c r="B94" s="8" t="s">
        <v>634</v>
      </c>
      <c r="C94" s="8"/>
      <c r="D94" s="8" t="s">
        <v>438</v>
      </c>
      <c r="E94" s="8" t="s">
        <v>479</v>
      </c>
      <c r="F94" s="9">
        <v>33454</v>
      </c>
      <c r="G94" s="8">
        <v>32</v>
      </c>
      <c r="H94" s="8">
        <v>100</v>
      </c>
      <c r="I94">
        <f t="shared" si="1"/>
        <v>3200</v>
      </c>
    </row>
    <row r="95" spans="1:9" ht="15" x14ac:dyDescent="0.35">
      <c r="A95" s="8" t="s">
        <v>635</v>
      </c>
      <c r="B95" s="8" t="s">
        <v>636</v>
      </c>
      <c r="C95" s="8"/>
      <c r="D95" s="8" t="s">
        <v>438</v>
      </c>
      <c r="E95" s="8" t="s">
        <v>403</v>
      </c>
      <c r="F95" s="9">
        <v>34668</v>
      </c>
      <c r="G95" s="8">
        <v>40</v>
      </c>
      <c r="H95" s="8">
        <v>100</v>
      </c>
      <c r="I95">
        <f t="shared" si="1"/>
        <v>4000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7FB-1CBC-44DF-AC97-DF1D9FBEDB8F}">
  <dimension ref="A1"/>
  <sheetViews>
    <sheetView showGridLines="0" zoomScale="73" zoomScaleNormal="73" workbookViewId="0">
      <selection activeCell="L65" sqref="L65"/>
    </sheetView>
  </sheetViews>
  <sheetFormatPr defaultRowHeight="14.4" x14ac:dyDescent="0.3"/>
  <sheetData/>
  <pageMargins left="0.7" right="0.7" top="0.75" bottom="0.75" header="0.3" footer="0.3"/>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Business Case</vt:lpstr>
      <vt:lpstr>Data</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Fatai Sanni</dc:creator>
  <cp:lastModifiedBy>Sodiq Yusuff</cp:lastModifiedBy>
  <cp:lastPrinted>2024-02-14T09:25:45Z</cp:lastPrinted>
  <dcterms:created xsi:type="dcterms:W3CDTF">2024-02-04T16:52:02Z</dcterms:created>
  <dcterms:modified xsi:type="dcterms:W3CDTF">2025-03-28T16:06:14Z</dcterms:modified>
</cp:coreProperties>
</file>